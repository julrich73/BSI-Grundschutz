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Users\janul\Desktop\"/>
    </mc:Choice>
  </mc:AlternateContent>
  <xr:revisionPtr revIDLastSave="0" documentId="13_ncr:1_{01148D8A-CCF1-4D51-BE4C-656B4C5F40EF}" xr6:coauthVersionLast="46" xr6:coauthVersionMax="46" xr10:uidLastSave="{00000000-0000-0000-0000-000000000000}"/>
  <bookViews>
    <workbookView xWindow="-120" yWindow="-120" windowWidth="29040" windowHeight="15840" tabRatio="655" xr2:uid="{93B2119C-50E7-49C6-9D1B-56552EA7E959}"/>
  </bookViews>
  <sheets>
    <sheet name="Ergebnis" sheetId="10" r:id="rId1"/>
    <sheet name="Schadensszenario 1" sheetId="3" r:id="rId2"/>
    <sheet name="Schadensszenario 2" sheetId="1" r:id="rId3"/>
    <sheet name="Schadensszenario 3" sheetId="6" r:id="rId4"/>
    <sheet name="Schadensszenario 4" sheetId="7" r:id="rId5"/>
    <sheet name="Schadensszenario 5" sheetId="8" r:id="rId6"/>
    <sheet name="Schadensszenario 6" sheetId="9" r:id="rId7"/>
    <sheet name="Daten" sheetId="4" r:id="rId8"/>
  </sheets>
  <definedNames>
    <definedName name="_xlnm.Print_Area" localSheetId="0">Ergebnis!$A$1:$H$51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7" i="10" l="1"/>
  <c r="Q13" i="9" l="1"/>
  <c r="F19" i="10" s="1"/>
  <c r="F18" i="4" s="1"/>
  <c r="J13" i="9"/>
  <c r="E19" i="10" s="1"/>
  <c r="E18" i="4" s="1"/>
  <c r="C13" i="9"/>
  <c r="D19" i="10" s="1"/>
  <c r="D18" i="4" s="1"/>
  <c r="Q13" i="8"/>
  <c r="F18" i="10" s="1"/>
  <c r="F17" i="4" s="1"/>
  <c r="J13" i="8"/>
  <c r="E18" i="10" s="1"/>
  <c r="E17" i="4" s="1"/>
  <c r="C13" i="8"/>
  <c r="D18" i="10" s="1"/>
  <c r="D17" i="4" s="1"/>
  <c r="Q13" i="7"/>
  <c r="F17" i="10" s="1"/>
  <c r="F16" i="4" s="1"/>
  <c r="J13" i="7"/>
  <c r="E17" i="10" s="1"/>
  <c r="E16" i="4" s="1"/>
  <c r="C13" i="7"/>
  <c r="D17" i="10" s="1"/>
  <c r="D16" i="4" s="1"/>
  <c r="R13" i="6"/>
  <c r="F16" i="10" s="1"/>
  <c r="F15" i="4" s="1"/>
  <c r="K13" i="6"/>
  <c r="E16" i="10" s="1"/>
  <c r="E15" i="4" s="1"/>
  <c r="D13" i="6"/>
  <c r="D16" i="10" s="1"/>
  <c r="D15" i="4" s="1"/>
  <c r="R13" i="1"/>
  <c r="F15" i="10" s="1"/>
  <c r="F14" i="4" s="1"/>
  <c r="K13" i="1"/>
  <c r="E15" i="10" s="1"/>
  <c r="E14" i="4" s="1"/>
  <c r="D13" i="1"/>
  <c r="D15" i="10" s="1"/>
  <c r="D14" i="4" s="1"/>
  <c r="C13" i="3"/>
  <c r="D14" i="10" s="1"/>
  <c r="D13" i="4" s="1"/>
  <c r="Q13" i="3"/>
  <c r="F14" i="10" s="1"/>
  <c r="F13" i="4" s="1"/>
  <c r="J13" i="3"/>
  <c r="E14" i="10" s="1"/>
  <c r="E13" i="4" s="1"/>
  <c r="D20" i="4" l="1"/>
  <c r="D20" i="10" s="1"/>
  <c r="F20" i="4"/>
  <c r="F20" i="10" s="1"/>
  <c r="E20" i="4"/>
  <c r="E20" i="10" s="1"/>
  <c r="D22" i="4" l="1"/>
  <c r="D21" i="10" s="1"/>
</calcChain>
</file>

<file path=xl/sharedStrings.xml><?xml version="1.0" encoding="utf-8"?>
<sst xmlns="http://schemas.openxmlformats.org/spreadsheetml/2006/main" count="166" uniqueCount="68">
  <si>
    <t>Schadensszenario Verstoß gegen Gesetze/Vorschriften/Verträge</t>
  </si>
  <si>
    <t>Verlust der Vertraulichkeit</t>
  </si>
  <si>
    <t>Verlust der Integrität</t>
  </si>
  <si>
    <t>Verlust der Verfügbarkeit</t>
  </si>
  <si>
    <t xml:space="preserve">Sind bei Ausfall der Anwendung Verstöße gegen Vorschriften oder sogar Gesetze die Folge?
Schreiben Gesetze die dauernde Verfügbarkeit bestimmter Informationen vor?
Gibt es Termine, die bei Einsatz der Anwendung zwingend einzuhalten sind?
Gibt es vertragliche Bindungen für bestimmte einzuhaltende Termine? </t>
  </si>
  <si>
    <t>Sowohl aus dem Verlust der Vertraulichkeit als auch der Integrität und ebenso der Verfügbarkeit können derlei Verstöße resultieren. Die Schwere des Schadens ist dabei oftmals abhängig davon, welche rechtlichen Konsequenzen daraus für die Institution entstehen können.
Beispiele für relevante Gesetze sind (in Deutschland):
Grundgesetz, Bürgerliches Gesetzbuch, Strafgesetzbuch, Bundesdatenschutzgesetz und Datenschutzgesetze der Länder, EU-Datenschutz-Grundverordnung (DSGVO), Sozialgesetzbuch, Handelsgesetzbuch, Personalvertretungsgesetz, Betriebsverfassungsgesetz, Urheberrechtsgesetz, Patentgesetz, Informations- und Kommunikationsdienstegesetz (IuKDG), Gesetz zur Kontrolle und Transparenz im Unternehmen (KonTraG).
Beispiele für relevante Vorschriften sind:
Verwaltungsvorschriften, Verordnungen und Dienstvorschriften.
Beispiele für Verträge:
Dienstleistungsverträge im Bereich Datenverarbeitung, Verträge zur Wahrung von Betriebsgeheimnissen</t>
  </si>
  <si>
    <t>Beeinträchtigung des informationellen Selbstbestimmungsrechts</t>
  </si>
  <si>
    <t xml:space="preserve">Bei der Implementation und dem Betrieb von IT-Systemen und Anwendungen besteht die Gefahr einer Verletzung des informationellen Selbstbestimmungsrechts bis hin zu einem Missbrauch personenbezogener Daten.
Beispiele für die Beeinträchtigung des informationellen Selbstbestimmungsrechts sind:
•	 Unzulässige Erhebung personenbezogener Daten ohne Rechtsgrundlage oder Einwilligung,
•	 unbefugte Kenntnisnahme bei der Datenverarbeitung bzw. der Übermittlung von personenbezogenen Daten,
•	 unbefugte Weitergabe personenbezogener Daten,
•	 Nutzung von personenbezogenen Daten zu einem anderen als dem bei der Erhebung zulässigen Zweck und
•	 Verfälschung von personenbezogenen Daten in IT-Systemen oder bei der Übertragung. </t>
  </si>
  <si>
    <t xml:space="preserve">Welche Schäden können für den Betroffenen entstehen, wenn seine personenbezogenen Daten
nicht vertraulich behandelt werden?
Werden personenbezogene Daten für unzulässige Zwecke verarbeitet?
Ist es im Zuge einer zulässigen Verarbeitung personenbezogener Daten möglich, aus diesen Daten z. B. auf den Gesundheitszustand oder die wirtschaftliche Situation einer Person zu schließen?
Welche Schäden können durch den Missbrauch der gespeicherten personenbezogenen Daten entstehen? </t>
  </si>
  <si>
    <t xml:space="preserve">Welche Schäden entstünden für den Betroffenen, wenn seine personenbezogenen Daten unabsichtlich verfälscht oder absichtlich manipuliert würden?
Wann würde der Verlust der Integrität personenbezogener Daten frühestens auffallen? </t>
  </si>
  <si>
    <t xml:space="preserve">Können bei einem Ausfall der Anwendung oder bei einer Störung der Datenübertragung personenbezogene Daten verloren gehen oder verfälscht werden, sodass der Betroffene in seiner gesellschaftlichen Stellung beeinträchtigt wird oder gar persönliche oder wirtschaftliche Nachteile zu
befürchten hat? </t>
  </si>
  <si>
    <t>Beeinträchtigung der persönlichen Unversehrtheit</t>
  </si>
  <si>
    <t xml:space="preserve">Die Fehlfunktion von IT-Systemen oder Anwendungen kann unmittelbar die Verletzung, die Invalidität oder den Tod von Personen nach sich ziehen. Die Höhe des Schadens ist am direkten persönlichen Schaden zu messen.
Beispiele für solche Anwendungen und IT-Systeme sind:
•	 medizinische Überwachungsrechner,
•	 medizinische Diagnosesysteme,
•	 Flugkontrollrechner und
•	 Verkehrsleitsysteme. </t>
  </si>
  <si>
    <t xml:space="preserve">Kann durch das Bekanntwerden von Informationen eine Person physisch oder psychisch geschädigt werden? </t>
  </si>
  <si>
    <t xml:space="preserve">Können Menschen durch manipulierte Programmabläufe oder Daten gesundheitlich gefährdet
werden? </t>
  </si>
  <si>
    <t>Bedroht der Ausfall der Anwendung oder des IT-Systems unmittelbar die persönliche Unversehrtheit von Personen?</t>
  </si>
  <si>
    <t xml:space="preserve">Gerade der Verlust der Verfügbarkeit einer Anwendung oder der Integrität von Informationen oder Daten kann die Aufgabenerfüllung in einer Institution erheblich beeinträchtigen. Die Schwere des Schadens richtet sich hierbei nach der zeitlichen Dauer der Beeinträchtigung und nach dem Umfang der Einschränkungen der angebotenen Dienstleistungen.
Beispiele hierfür sind:
•	 Fristversäumnisse durch verzögerte Bearbeitung von Verwaltungsvorgängen,
•	 verspätete Lieferung aufgrund verzögerter Bearbeitung von Bestellungen,
•	 fehlerhafte Produktion aufgrund falscher Steuerungsdaten und
•	 unzureichende Qualitätssicherung durch Ausfall eines Testsystems. </t>
  </si>
  <si>
    <t xml:space="preserve">Gibt es Informationen, deren Vertraulichkeit die Grundlage für die Aufgabenerfüllung ist (z. B.
Strafverfolgungsinformationen, Ermittlungsergebnisse)? </t>
  </si>
  <si>
    <t xml:space="preserve"> Können Veränderungen an Informationen die Aufgabenerfüllung in der Art einschränken, dass die Institution handlungsunfähig wird?
Entstehen erhebliche Schäden, wenn die Aufgaben trotz verfälschter Informationen wahrgenommen werden?
Wann werden unerlaubte Datenveränderungen frühestens erkannt?
Können verfälschte Informationen in der betrachteten Anwendung zu Fehlern in anderen Anwendungen führen?
Welche Folgen entstehen, wenn Daten fälschlicherweise einer Person zugeordnet werden, die diese Daten in Wirklichkeit gar nicht erzeugt hat? </t>
  </si>
  <si>
    <t xml:space="preserve">Gibt es Informationen, bei denen eine Einschränkung der Verfügbarkeit schwerwiegende Auswirkungen auf die Institution oder deren Geschäftsprozesse hätte?
Kann durch den Ausfall von Anwendungen die Aufgabenerfüllung der Institution so stark beeinträchtigt werden, dass die Wartezeiten für die Betroffenen nicht mehr tolerabel sind?
Sind von dem Ausfall dieser Anwendung andere Anwendungen betroffen?
Ist es für die Institution bedeutsam, dass der Zugriff auf Anwendungen nebst Programmen und Daten ständig gewährleistet ist? </t>
  </si>
  <si>
    <t>Beeinträchtigung der Aufgabenerfüllung</t>
  </si>
  <si>
    <t>Negative Innen- oder Außenwirkung</t>
  </si>
  <si>
    <t xml:space="preserve">Durch den Verlust einer der Grundwerte Vertraulichkeit, Integrität oder Verfügbarkeit in einer Anwendung können verschiedenartige negative Innen- oder Außenwirkungen entstehen, zum Beispiel:
•	 Ansehensverlust einer Institution,
•	 Vertrauensverlust gegenüber einer Institution,
•	 Demoralisierung der Mitarbeiter,
•	 Beeinträchtigung der wirtschaftlichen Beziehungen zusammenarbeitender Institutionen,
•	 verlorenes Vertrauen in die Arbeitsqualität einer Institution und
•	 Einbüßen der Konkurrenzfähigkeit.
Die Höhe des Schadens orientiert sich an der Schwere des Vertrauensverlustes oder des Verbreitungsgrades der Innen- oder Außenwirkung. Die Ursachen für solche Schäden können vielfältiger Natur sein:
•	 Handlungsunfähigkeit einer Institution durch IT-Ausfall,
•	 fehlerhafte Veröffentlichungen durch manipulierte Daten,
•	 Fehlbestellungen durch mangelhafte Lagerhaltungsprogramme,
•	 Nichteinhaltung von Verschwiegenheitserklärungen,
•	 Schuldzuweisungen an die falschen Personen,
•	 Verhinderung der Aufgabenerfüllung einer Abteilung durch Fehler in anderen Bereichen,
•	 Weitergabe von Fahndungsdaten an interessierte Dritte und
•	 Zuspielen vertraulicher Informationen an die Presse. </t>
  </si>
  <si>
    <t xml:space="preserve">Welche Konsequenzen ergeben sich für die Institution durch die unerlaubte Veröffentlichung von schutzbedürftigen Informationen?
Kann der Vertraulichkeitsverlust von Informationen zu einer Schwächung der Wettbewerbsposition führen?
Entstehen bei der Veröffentlichung von vertraulichen Informationen Zweifel an der Vertrauenswürdigkeit der Institution?
Können Veröffentlichungen von Informationen zur politischen oder gesellschaftlichen Verunsicherung führen?
 Können Mitarbeiter durch die unzulässige Veröffentlichung von Informationen das Vertrauen in ihre Institution verlieren? </t>
  </si>
  <si>
    <t xml:space="preserve"> Welche Schäden können sich durch die Verarbeitung, Verbreitung oder Übermittlung falscher oder unvollständiger Informationen ergeben?
Wird die Verfälschung von Informationen öffentlich bekannt?
Entstehen bei einer Veröffentlichung von verfälschten Informationen Ansehensverluste?
Können Veröffentlichungen von verfälschten Informationen zur politischen oder gesellschaftlichen Verunsicherung führen?
Können verfälschte Informationen zu einer verminderten Produktqualität und damit zu einem Ansehensverlust führen?</t>
  </si>
  <si>
    <t xml:space="preserve">Schränkt der Ausfall von Anwendungen die Informationsdienstleistungen für Externe ein?
Verhindert die Nichtverfügbarkeit von Informationen oder der Ausfall von Geschäftsprozessen die Erreichung von Geschäftszielen?
Ab wann wird die Nichtverfügbarkeit von Informationen oder der Ausfall von Anwendungen oder Geschäftsprozessen extern bemerkt? </t>
  </si>
  <si>
    <t>Finanzielle Auswirkungen</t>
  </si>
  <si>
    <t xml:space="preserve">Unmittelbare oder mittelbare finanzielle Schäden können durch den Verlust der Vertraulichkeit schutzbedürftiger Informationen, die Veränderung von Informationen oder den Ausfall von Anwendungen entstehen. Beispiele dafür sind:
•	 unerlaubte Weitergabe von Forschungs- und Entwicklungsergebnissen,
•	 Manipulation von finanzwirksamen Daten in einem Abrechnungssystem,
•	 Ausfall eines IT-gesteuerten Produktionssystems und dadurch bedingte Umsatzverluste,
•	 unerlaubte Einsichtnahme in Marketingstrategiepapiere oder Umsatzzahlen,
•	 Ausfall eines Buchungssystems einer Reisegesellschaft,
•	 Ausfall eines E-Commerce-Servers,
•	 Zusammenbruch des Zahlungsverkehrs einer Bank,
•	 Diebstahl oder Zerstörung von Hardware.
Die Höhe des Gesamtschadens setzt sich zusammen aus den direkt und indirekt entstehenden Kosten, etwa durch Sachschäden, Schadenersatzleistungen und Kosten für zusätzlichen Aufwand (z. B. Wiederherstellung). </t>
  </si>
  <si>
    <t xml:space="preserve">Kann die Veröffentlichung vertraulicher Informationen Regressforderungen nach sich ziehen?
Gibt es innerhalb von Geschäftsprozessen oder Anwendungen Informationen, aus deren Kenntnis ein Dritter (z. B. Konkurrenzunternehmen) finanzielle Vorteile ziehen kann?
Werden mit Anwendungen Forschungsdaten gespeichert, die einen erheblichen Wert darstellen?
Was passiert, wenn sie unerlaubt kopiert und weitergegeben werden?
Können durch vorzeitige Veröffentlichung von schutzbedürftigen Informationen finanzielle Schäden entstehen? </t>
  </si>
  <si>
    <t xml:space="preserve">Können durch Datenmanipulationen finanzwirksame Daten so verändert werden, dass finanzielle Schäden entstehen?
Kann die Veröffentlichung falscher Informationen Regressforderungen nach sich ziehen?
Können durch verfälschte Bestelldaten finanzielle Schäden entstehen (z. B. bei Just-in-Time-Produktion)?
Können verfälschte Informationen zu falschen Geschäftsentscheidungen führen? </t>
  </si>
  <si>
    <t xml:space="preserve">Wird durch den Ausfall von Anwendungen oder Geschäftsprozessen die Produktion, die Lagerhaltung oder der Vertrieb beeinträchtigt?
Ergeben sich durch den Ausfall von Anwendungen oder Geschäftsprozessen finanzielle Verluste aufgrund von verzögerten Zahlungen bzw. Zinsverlusten?
Wie hoch sind die Reparatur- oder Wiederherstellungskosten bei Ausfall, Defekt, Zerstörung oder Diebstahl von IT-Systemen?
Kann es durch den Ausfall von Anwendungen oder Geschäftsprozessen zu mangelnder Zahlungsfähigkeit oder zu Konventionalstrafen kommen?
Wie viele wichtige Kunden wären von einem Ausfall der Anwendungen oder der Geschäftsprozesse betroffen? </t>
  </si>
  <si>
    <t>Gesetze/Vorschriften/Verträge</t>
  </si>
  <si>
    <t>Einstufung</t>
  </si>
  <si>
    <t>Ergebnis</t>
  </si>
  <si>
    <t>Vertraulichkeit</t>
  </si>
  <si>
    <t>Integrität</t>
  </si>
  <si>
    <t>Verfügbarkeit</t>
  </si>
  <si>
    <t>Gesamtergebnis pro Grundwert nach Maximumprinzip</t>
  </si>
  <si>
    <t>Begründung</t>
  </si>
  <si>
    <t>Gesamtschutzbedarf nach Maximumprinzip</t>
  </si>
  <si>
    <t>Verstoß gegen Gesetze/Vorschriften/Verträge</t>
  </si>
  <si>
    <t xml:space="preserve"> Erfordern gesetzliche Auflagen die Vertraulichkeit der Informationen?
Ist im Falle einer Veröffentlichung von Informationen mit Strafverfolgung oder Regressforderungen zu rechnen?
Sind Verträge einzuhalten, die die Wahrung der Vertraulichkeit bestimmter Informationen beinhalten? </t>
  </si>
  <si>
    <t xml:space="preserve">Erfordern gesetzliche Auflagen die Integrität der Informationen?
In welchem Maße wird durch einen Verlust der Integrität gegen Gesetze bzw. Vorschriften verstoßen? </t>
  </si>
  <si>
    <t xml:space="preserve">1. Ein Schadensereignis hätte nur geringfügige Auswirkungen für die betroffene Behörde oder den Verursachenden. </t>
  </si>
  <si>
    <t>2. Ein Schadensereignis hätte erhebliche Auswirkungen für die Behörde oder den Verursachenden.</t>
  </si>
  <si>
    <t>3. Ein Schadensereignis hätte fundamentale Auswirkungen auf die Behörde oder den Verursachenden.</t>
  </si>
  <si>
    <t>1. Ein Schadensereignis hätte voraussichtlich geringfügige Auswirkungen für den Betroffenen.</t>
  </si>
  <si>
    <t>2. Bei einem Schadensereignis drohen erhebliche Auswirkungen für den Betroffenen.</t>
  </si>
  <si>
    <t xml:space="preserve">3. Bei einem Schadensereignis drohen fundamentale und lebensbedrohende Auswirkungen für den Betroffenen. </t>
  </si>
  <si>
    <t>1. Bei einem Schadensereignis drohen geringfügige Auswirkungen für den Betroffenen.</t>
  </si>
  <si>
    <t>2. Bei einem Schadensereignis drohen erhebliche Auswirkungen für den Betroffenen</t>
  </si>
  <si>
    <t>3. Bei einem Schadensereignis drohen fundamentale und lebensbedrohende Auwirkungen</t>
  </si>
  <si>
    <t>1. Ein Schadensereignis zwischen maximal 24-72 Stunden wird als tolerabel eingeschätzt.</t>
  </si>
  <si>
    <t>2. Ein Schadensereignis zwischen maximal 4-24 Stunden wird als tolerabel eingeschätzt.</t>
  </si>
  <si>
    <t>3. Ein Schadensereignis bis maximal 4 Stunden wird als tolerabel eingeschätzt.</t>
  </si>
  <si>
    <t>1. Ein Schadensereignis hätte nur eine geringe, lokal begrenzte oder nur interne Vertrauensbeeinträchtigung.</t>
  </si>
  <si>
    <t>2. Ein Schadensereignis würde zu einer breiten und übergreifenden Vertrauensbeeinträchtigung führen.</t>
  </si>
  <si>
    <t>3. Bei einem Schadensereignis droht ein irreparabler Schaden mit dauerhaftem Vertrauensverlust.</t>
  </si>
  <si>
    <t xml:space="preserve">Ergebnisdokument des Interviews von: </t>
  </si>
  <si>
    <t>Prozessverantwortung</t>
  </si>
  <si>
    <t xml:space="preserve">Datum, Unterschrift                                             </t>
  </si>
  <si>
    <t>Datum, Unterschrift</t>
  </si>
  <si>
    <t>Ergebnis der Schutzbedarfsfestellung für … bitte ausfüllen</t>
  </si>
  <si>
    <t xml:space="preserve"> _________________ </t>
  </si>
  <si>
    <t xml:space="preserve"> Festgestellt durch                                                </t>
  </si>
  <si>
    <t>1. Bei einem Schadensereignis droht ein geringfügiger und tolerabler Schaden.</t>
  </si>
  <si>
    <t>2. Bei einem Schadensereignis droht ein erheblicher finanzieller Schaden.</t>
  </si>
  <si>
    <t>3. Bei einem Schadensereignis droht ein außergewöhnlich hoher finanzieller Schaden.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</si>
</sst>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2">
    <xf numFmtId="0" fontId="0" fillId="0" borderId="0" xfId="0"/>
    <xf numFmtId="0" fontId="0" fillId="0" borderId="0" xfId="0" applyAlignment="1">
      <alignment wrapText="1"/>
    </xf>
    <xf numFmtId="0" fontId="0" fillId="2" borderId="1" xfId="0" applyFill="1" applyBorder="1"/>
    <xf numFmtId="0" fontId="0" fillId="0" borderId="1" xfId="0" applyBorder="1" applyAlignment="1">
      <alignment horizontal="center"/>
    </xf>
    <xf numFmtId="0" fontId="0" fillId="2" borderId="1" xfId="0" applyFill="1" applyBorder="1" applyAlignment="1">
      <alignment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0" borderId="1" xfId="0" applyBorder="1" applyAlignment="1">
      <alignment horizont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Border="1"/>
    <xf numFmtId="0" fontId="0" fillId="0" borderId="9" xfId="0" applyBorder="1"/>
    <xf numFmtId="0" fontId="0" fillId="0" borderId="0" xfId="0" applyBorder="1" applyAlignment="1">
      <alignment horizontal="center"/>
    </xf>
    <xf numFmtId="0" fontId="0" fillId="0" borderId="0" xfId="0" applyBorder="1" applyAlignment="1"/>
    <xf numFmtId="0" fontId="0" fillId="0" borderId="10" xfId="0" applyBorder="1"/>
    <xf numFmtId="0" fontId="0" fillId="0" borderId="11" xfId="0" applyBorder="1"/>
    <xf numFmtId="0" fontId="0" fillId="0" borderId="12" xfId="0" applyBorder="1"/>
    <xf numFmtId="0" fontId="0" fillId="0" borderId="0" xfId="0" applyBorder="1" applyAlignment="1">
      <alignment horizontal="left"/>
    </xf>
    <xf numFmtId="0" fontId="3" fillId="0" borderId="1" xfId="0" applyFont="1" applyBorder="1" applyAlignment="1">
      <alignment horizontal="left"/>
    </xf>
    <xf numFmtId="0" fontId="3" fillId="0" borderId="1" xfId="0" applyFont="1" applyBorder="1" applyAlignment="1">
      <alignment horizontal="left" wrapText="1"/>
    </xf>
    <xf numFmtId="0" fontId="3" fillId="2" borderId="1" xfId="0" applyFont="1" applyFill="1" applyBorder="1" applyAlignment="1">
      <alignment horizontal="left"/>
    </xf>
    <xf numFmtId="0" fontId="3" fillId="2" borderId="1" xfId="0" applyFont="1" applyFill="1" applyBorder="1" applyAlignment="1">
      <alignment horizontal="left" wrapText="1"/>
    </xf>
    <xf numFmtId="0" fontId="2" fillId="0" borderId="0" xfId="0" applyFont="1" applyBorder="1" applyAlignment="1">
      <alignment horizont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0" fillId="0" borderId="0" xfId="0" applyBorder="1" applyAlignment="1">
      <alignment horizontal="center"/>
    </xf>
    <xf numFmtId="14" fontId="0" fillId="0" borderId="0" xfId="0" applyNumberFormat="1" applyBorder="1" applyAlignment="1">
      <alignment horizontal="center"/>
    </xf>
    <xf numFmtId="0" fontId="0" fillId="3" borderId="2" xfId="0" applyFill="1" applyBorder="1" applyAlignment="1">
      <alignment horizontal="left" wrapText="1"/>
    </xf>
    <xf numFmtId="0" fontId="0" fillId="3" borderId="3" xfId="0" applyFill="1" applyBorder="1" applyAlignment="1">
      <alignment horizontal="left" wrapText="1"/>
    </xf>
    <xf numFmtId="0" fontId="0" fillId="3" borderId="4" xfId="0" applyFill="1" applyBorder="1" applyAlignment="1">
      <alignment horizontal="left" wrapText="1"/>
    </xf>
    <xf numFmtId="0" fontId="1" fillId="2" borderId="1" xfId="0" applyFont="1" applyFill="1" applyBorder="1" applyAlignment="1">
      <alignment horizontal="center"/>
    </xf>
    <xf numFmtId="0" fontId="0" fillId="0" borderId="1" xfId="0" applyBorder="1" applyAlignment="1">
      <alignment horizontal="left" vertical="top" wrapText="1"/>
    </xf>
    <xf numFmtId="0" fontId="0" fillId="2" borderId="1" xfId="0" applyFill="1" applyBorder="1" applyAlignment="1">
      <alignment horizontal="center"/>
    </xf>
    <xf numFmtId="0" fontId="0" fillId="0" borderId="1" xfId="0" applyBorder="1" applyAlignment="1">
      <alignment horizontal="left" vertical="top"/>
    </xf>
    <xf numFmtId="0" fontId="1" fillId="0" borderId="1" xfId="0" applyFont="1" applyBorder="1" applyAlignment="1">
      <alignment horizontal="center"/>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3" borderId="4" xfId="0" applyFill="1" applyBorder="1" applyAlignment="1">
      <alignment horizontal="center" wrapText="1"/>
    </xf>
    <xf numFmtId="0" fontId="0" fillId="0" borderId="1" xfId="0" applyBorder="1" applyAlignment="1">
      <alignment horizontal="center"/>
    </xf>
  </cellXfs>
  <cellStyles count="1">
    <cellStyle name="Standard" xfId="0" builtinId="0"/>
  </cellStyles>
  <dxfs count="18">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107951</xdr:colOff>
      <xdr:row>1</xdr:row>
      <xdr:rowOff>57149</xdr:rowOff>
    </xdr:from>
    <xdr:to>
      <xdr:col>16</xdr:col>
      <xdr:colOff>571501</xdr:colOff>
      <xdr:row>29</xdr:row>
      <xdr:rowOff>179916</xdr:rowOff>
    </xdr:to>
    <xdr:sp macro="" textlink="">
      <xdr:nvSpPr>
        <xdr:cNvPr id="2" name="Textfeld 1">
          <a:extLst>
            <a:ext uri="{FF2B5EF4-FFF2-40B4-BE49-F238E27FC236}">
              <a16:creationId xmlns:a16="http://schemas.microsoft.com/office/drawing/2014/main" id="{D8AA72F0-9651-4E56-93A5-BC99E600C230}"/>
            </a:ext>
          </a:extLst>
        </xdr:cNvPr>
        <xdr:cNvSpPr txBox="1"/>
      </xdr:nvSpPr>
      <xdr:spPr>
        <a:xfrm>
          <a:off x="7423151" y="247649"/>
          <a:ext cx="5797550" cy="5523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400">
              <a:latin typeface="Arial" panose="020B0604020202020204" pitchFamily="34" charset="0"/>
              <a:cs typeface="Arial" panose="020B0604020202020204" pitchFamily="34" charset="0"/>
            </a:rPr>
            <a:t>Beschreibung:</a:t>
          </a:r>
        </a:p>
        <a:p>
          <a:endParaRPr lang="de-DE" sz="1100"/>
        </a:p>
        <a:p>
          <a:r>
            <a:rPr lang="de-DE" sz="1200">
              <a:latin typeface="Arial" panose="020B0604020202020204" pitchFamily="34" charset="0"/>
              <a:cs typeface="Arial" panose="020B0604020202020204" pitchFamily="34" charset="0"/>
            </a:rPr>
            <a:t>Diese</a:t>
          </a:r>
          <a:r>
            <a:rPr lang="de-DE" sz="1200" baseline="0">
              <a:latin typeface="Arial" panose="020B0604020202020204" pitchFamily="34" charset="0"/>
              <a:cs typeface="Arial" panose="020B0604020202020204" pitchFamily="34" charset="0"/>
            </a:rPr>
            <a:t> Tabelle leitet den Verantwortlichen durch den Prozess der Schutzbdarfsfeststellung und berechnet automatisch den Gesamtschutzbedarf nach dem Maximumprinzip.</a:t>
          </a:r>
        </a:p>
        <a:p>
          <a:r>
            <a:rPr lang="de-DE" sz="1200" baseline="0">
              <a:latin typeface="Arial" panose="020B0604020202020204" pitchFamily="34" charset="0"/>
              <a:cs typeface="Arial" panose="020B0604020202020204" pitchFamily="34" charset="0"/>
            </a:rPr>
            <a:t>Dazu müssen die Tabellenblätter "Schadensszenario 1" bis "Schadenssenario 6" bearbeitet werden.</a:t>
          </a:r>
        </a:p>
        <a:p>
          <a:r>
            <a:rPr lang="de-DE" sz="1200" baseline="0">
              <a:latin typeface="Arial" panose="020B0604020202020204" pitchFamily="34" charset="0"/>
              <a:cs typeface="Arial" panose="020B0604020202020204" pitchFamily="34" charset="0"/>
            </a:rPr>
            <a:t>Auszufüllen sind dabei nur die Zellen, die in hellblau markiert sind. Bei der Einstufung kann über ein Dropdownfeld die passende Stufe aus der Schutzbedarfskategorisierung verwendet werden. In dem Begründungsfeld muss die Einstufung ausreichend begründet werden.</a:t>
          </a:r>
        </a:p>
        <a:p>
          <a:r>
            <a:rPr lang="de-DE" sz="1200" baseline="0">
              <a:latin typeface="Arial" panose="020B0604020202020204" pitchFamily="34" charset="0"/>
              <a:cs typeface="Arial" panose="020B0604020202020204" pitchFamily="34" charset="0"/>
            </a:rPr>
            <a:t>Auf dem Tabellenblatt "Ergebnis" wird daraufhin das nach dem Maximalprinzip errechnete Ergebnis dargestellt. Die Formularansicht ist über einen Druckbereich festgelegt, so dass das Ergebnis formatiert ausgedruckt werden kann.</a:t>
          </a:r>
          <a:endParaRPr lang="de-DE" sz="1200">
            <a:latin typeface="Arial" panose="020B0604020202020204" pitchFamily="34" charset="0"/>
            <a:cs typeface="Arial" panose="020B0604020202020204" pitchFamily="34" charset="0"/>
          </a:endParaRPr>
        </a:p>
      </xdr:txBody>
    </xdr:sp>
    <xdr:clientData/>
  </xdr:twoCellAnchor>
  <xdr:twoCellAnchor editAs="oneCell">
    <xdr:from>
      <xdr:col>2</xdr:col>
      <xdr:colOff>21167</xdr:colOff>
      <xdr:row>2</xdr:row>
      <xdr:rowOff>31757</xdr:rowOff>
    </xdr:from>
    <xdr:to>
      <xdr:col>2</xdr:col>
      <xdr:colOff>1618457</xdr:colOff>
      <xdr:row>6</xdr:row>
      <xdr:rowOff>62306</xdr:rowOff>
    </xdr:to>
    <xdr:pic>
      <xdr:nvPicPr>
        <xdr:cNvPr id="4" name="Grafik 3">
          <a:extLst>
            <a:ext uri="{FF2B5EF4-FFF2-40B4-BE49-F238E27FC236}">
              <a16:creationId xmlns:a16="http://schemas.microsoft.com/office/drawing/2014/main" id="{F0D687E2-1284-4EC1-A396-255CFCC9D234}"/>
            </a:ext>
          </a:extLst>
        </xdr:cNvPr>
        <xdr:cNvPicPr>
          <a:picLocks noChangeAspect="1"/>
        </xdr:cNvPicPr>
      </xdr:nvPicPr>
      <xdr:blipFill>
        <a:blip xmlns:r="http://schemas.openxmlformats.org/officeDocument/2006/relationships" r:embed="rId1"/>
        <a:stretch>
          <a:fillRect/>
        </a:stretch>
      </xdr:blipFill>
      <xdr:spPr>
        <a:xfrm>
          <a:off x="1143000" y="412757"/>
          <a:ext cx="1597290" cy="792549"/>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988C1-8B04-44C8-A5CF-0324016D0D7F}">
  <sheetPr>
    <pageSetUpPr fitToPage="1"/>
  </sheetPr>
  <dimension ref="B2:G49"/>
  <sheetViews>
    <sheetView showGridLines="0" tabSelected="1" topLeftCell="A7" zoomScaleNormal="100" workbookViewId="0">
      <selection activeCell="C15" sqref="C15"/>
    </sheetView>
  </sheetViews>
  <sheetFormatPr baseColWidth="10" defaultRowHeight="15" x14ac:dyDescent="0.25"/>
  <cols>
    <col min="1" max="1" width="4.28515625" customWidth="1"/>
    <col min="2" max="2" width="5.42578125" customWidth="1"/>
    <col min="3" max="3" width="39.42578125" customWidth="1"/>
    <col min="4" max="4" width="14.28515625" bestFit="1" customWidth="1"/>
    <col min="5" max="5" width="10" customWidth="1"/>
    <col min="6" max="6" width="13.28515625" bestFit="1" customWidth="1"/>
    <col min="7" max="7" width="5.85546875" customWidth="1"/>
    <col min="8" max="8" width="5.7109375" customWidth="1"/>
  </cols>
  <sheetData>
    <row r="2" spans="2:7" x14ac:dyDescent="0.25">
      <c r="B2" s="8"/>
      <c r="C2" s="9"/>
      <c r="D2" s="9"/>
      <c r="E2" s="9"/>
      <c r="F2" s="9"/>
      <c r="G2" s="10"/>
    </row>
    <row r="3" spans="2:7" x14ac:dyDescent="0.25">
      <c r="B3" s="11"/>
      <c r="C3" s="12"/>
      <c r="D3" s="12"/>
      <c r="E3" s="12"/>
      <c r="F3" s="12"/>
      <c r="G3" s="13"/>
    </row>
    <row r="4" spans="2:7" x14ac:dyDescent="0.25">
      <c r="B4" s="11"/>
      <c r="C4" s="12"/>
      <c r="D4" s="12"/>
      <c r="E4" s="12"/>
      <c r="F4" s="12"/>
      <c r="G4" s="13"/>
    </row>
    <row r="5" spans="2:7" x14ac:dyDescent="0.25">
      <c r="B5" s="11"/>
      <c r="C5" s="12"/>
      <c r="D5" s="12"/>
      <c r="E5" s="12"/>
      <c r="F5" s="12"/>
      <c r="G5" s="13"/>
    </row>
    <row r="6" spans="2:7" x14ac:dyDescent="0.25">
      <c r="B6" s="11"/>
      <c r="C6" s="12"/>
      <c r="D6" s="12"/>
      <c r="E6" s="12"/>
      <c r="F6" s="12"/>
      <c r="G6" s="13"/>
    </row>
    <row r="7" spans="2:7" x14ac:dyDescent="0.25">
      <c r="B7" s="11"/>
      <c r="C7" s="12"/>
      <c r="D7" s="12"/>
      <c r="E7" s="12"/>
      <c r="F7" s="12"/>
      <c r="G7" s="13"/>
    </row>
    <row r="8" spans="2:7" x14ac:dyDescent="0.25">
      <c r="B8" s="11"/>
      <c r="C8" s="12"/>
      <c r="D8" s="12"/>
      <c r="E8" s="12"/>
      <c r="F8" s="12"/>
      <c r="G8" s="13"/>
    </row>
    <row r="9" spans="2:7" x14ac:dyDescent="0.25">
      <c r="B9" s="11"/>
      <c r="C9" s="12"/>
      <c r="D9" s="12"/>
      <c r="E9" s="12"/>
      <c r="F9" s="12"/>
      <c r="G9" s="13"/>
    </row>
    <row r="10" spans="2:7" x14ac:dyDescent="0.25">
      <c r="B10" s="11"/>
      <c r="C10" s="12"/>
      <c r="D10" s="12"/>
      <c r="E10" s="12"/>
      <c r="F10" s="12"/>
      <c r="G10" s="13"/>
    </row>
    <row r="11" spans="2:7" ht="30.75" customHeight="1" x14ac:dyDescent="0.25">
      <c r="B11" s="11"/>
      <c r="C11" s="24" t="s">
        <v>62</v>
      </c>
      <c r="D11" s="24"/>
      <c r="E11" s="24"/>
      <c r="F11" s="24"/>
      <c r="G11" s="13"/>
    </row>
    <row r="12" spans="2:7" x14ac:dyDescent="0.25">
      <c r="B12" s="11"/>
      <c r="C12" s="12"/>
      <c r="D12" s="12"/>
      <c r="E12" s="12"/>
      <c r="F12" s="12"/>
      <c r="G12" s="13"/>
    </row>
    <row r="13" spans="2:7" x14ac:dyDescent="0.25">
      <c r="B13" s="11"/>
      <c r="C13" s="2"/>
      <c r="D13" s="6" t="s">
        <v>34</v>
      </c>
      <c r="E13" s="6" t="s">
        <v>35</v>
      </c>
      <c r="F13" s="6" t="s">
        <v>36</v>
      </c>
      <c r="G13" s="13"/>
    </row>
    <row r="14" spans="2:7" x14ac:dyDescent="0.25">
      <c r="B14" s="11"/>
      <c r="C14" s="20" t="s">
        <v>40</v>
      </c>
      <c r="D14" s="7" t="str">
        <f>'Schadensszenario 1'!C13</f>
        <v>Normal</v>
      </c>
      <c r="E14" s="7" t="str">
        <f>'Schadensszenario 1'!J13</f>
        <v>Hoch</v>
      </c>
      <c r="F14" s="7" t="str">
        <f>'Schadensszenario 1'!Q13</f>
        <v>Sehr Hoch</v>
      </c>
      <c r="G14" s="13"/>
    </row>
    <row r="15" spans="2:7" ht="26.25" x14ac:dyDescent="0.25">
      <c r="B15" s="11"/>
      <c r="C15" s="21" t="s">
        <v>6</v>
      </c>
      <c r="D15" s="7" t="str">
        <f>'Schadensszenario 2'!D13</f>
        <v>Normal</v>
      </c>
      <c r="E15" s="7" t="str">
        <f>'Schadensszenario 2'!K13</f>
        <v>Normal</v>
      </c>
      <c r="F15" s="7" t="str">
        <f>'Schadensszenario 2'!R13</f>
        <v>Normal</v>
      </c>
      <c r="G15" s="13"/>
    </row>
    <row r="16" spans="2:7" ht="26.25" x14ac:dyDescent="0.25">
      <c r="B16" s="11"/>
      <c r="C16" s="21" t="s">
        <v>11</v>
      </c>
      <c r="D16" s="7" t="str">
        <f>'Schadensszenario 3'!D13</f>
        <v>Sehr Hoch</v>
      </c>
      <c r="E16" s="7" t="str">
        <f>'Schadensszenario 3'!K13</f>
        <v>Hoch</v>
      </c>
      <c r="F16" s="7" t="str">
        <f>'Schadensszenario 3'!R13</f>
        <v>Normal</v>
      </c>
      <c r="G16" s="13"/>
    </row>
    <row r="17" spans="2:7" x14ac:dyDescent="0.25">
      <c r="B17" s="11"/>
      <c r="C17" s="20" t="s">
        <v>20</v>
      </c>
      <c r="D17" s="7" t="str">
        <f>'Schadensszenario 4'!C13</f>
        <v>Sehr Hoch</v>
      </c>
      <c r="E17" s="7" t="str">
        <f>'Schadensszenario 4'!J13</f>
        <v>Sehr Hoch</v>
      </c>
      <c r="F17" s="7" t="str">
        <f>'Schadensszenario 4'!Q13</f>
        <v>Normal</v>
      </c>
      <c r="G17" s="13"/>
    </row>
    <row r="18" spans="2:7" x14ac:dyDescent="0.25">
      <c r="B18" s="11"/>
      <c r="C18" s="20" t="s">
        <v>21</v>
      </c>
      <c r="D18" s="7" t="str">
        <f>'Schadensszenario 5'!C13</f>
        <v>Sehr Hoch</v>
      </c>
      <c r="E18" s="7" t="str">
        <f>'Schadensszenario 5'!J13</f>
        <v>Sehr Hoch</v>
      </c>
      <c r="F18" s="7" t="str">
        <f>'Schadensszenario 5'!Q13</f>
        <v>Normal</v>
      </c>
      <c r="G18" s="13"/>
    </row>
    <row r="19" spans="2:7" x14ac:dyDescent="0.25">
      <c r="B19" s="11"/>
      <c r="C19" s="20" t="s">
        <v>26</v>
      </c>
      <c r="D19" s="7" t="str">
        <f>'Schadensszenario 6'!C13</f>
        <v>Normal</v>
      </c>
      <c r="E19" s="7" t="str">
        <f>'Schadensszenario 6'!J13</f>
        <v>Normal</v>
      </c>
      <c r="F19" s="7" t="str">
        <f>'Schadensszenario 6'!Q13</f>
        <v>Normal</v>
      </c>
      <c r="G19" s="13"/>
    </row>
    <row r="20" spans="2:7" ht="26.25" customHeight="1" x14ac:dyDescent="0.25">
      <c r="B20" s="11"/>
      <c r="C20" s="23" t="s">
        <v>37</v>
      </c>
      <c r="D20" s="6" t="str">
        <f>IF(Daten!D20=3,"Sehr Hoch",IF(Daten!D20=2,"Hoch","Normal"))</f>
        <v>Sehr Hoch</v>
      </c>
      <c r="E20" s="6" t="str">
        <f>IF(Daten!E20=3,"Sehr Hoch",IF(Daten!E20=2,"Hoch","Normal"))</f>
        <v>Sehr Hoch</v>
      </c>
      <c r="F20" s="6" t="str">
        <f>IF(Daten!F20=3,"Sehr Hoch",IF(Daten!F20=2,"Hoch","Normal"))</f>
        <v>Sehr Hoch</v>
      </c>
      <c r="G20" s="13"/>
    </row>
    <row r="21" spans="2:7" ht="15.75" x14ac:dyDescent="0.25">
      <c r="B21" s="11"/>
      <c r="C21" s="22" t="s">
        <v>39</v>
      </c>
      <c r="D21" s="25" t="str">
        <f>IF(Daten!D22=3,"Sehr Hoch",IF(Daten!D22=2,"Hoch","Normal"))</f>
        <v>Sehr Hoch</v>
      </c>
      <c r="E21" s="26"/>
      <c r="F21" s="27"/>
      <c r="G21" s="13"/>
    </row>
    <row r="22" spans="2:7" x14ac:dyDescent="0.25">
      <c r="B22" s="11"/>
      <c r="C22" s="14"/>
      <c r="D22" s="14"/>
      <c r="E22" s="14"/>
      <c r="F22" s="14"/>
      <c r="G22" s="13"/>
    </row>
    <row r="23" spans="2:7" x14ac:dyDescent="0.25">
      <c r="B23" s="11"/>
      <c r="C23" s="14"/>
      <c r="D23" s="14"/>
      <c r="E23" s="14"/>
      <c r="F23" s="14"/>
      <c r="G23" s="13"/>
    </row>
    <row r="24" spans="2:7" x14ac:dyDescent="0.25">
      <c r="B24" s="11"/>
      <c r="C24" s="14"/>
      <c r="D24" s="14"/>
      <c r="E24" s="14"/>
      <c r="F24" s="14"/>
      <c r="G24" s="13"/>
    </row>
    <row r="25" spans="2:7" x14ac:dyDescent="0.25">
      <c r="B25" s="11"/>
      <c r="C25" s="12"/>
      <c r="D25" s="12"/>
      <c r="E25" s="12"/>
      <c r="F25" s="12"/>
      <c r="G25" s="13"/>
    </row>
    <row r="26" spans="2:7" x14ac:dyDescent="0.25">
      <c r="B26" s="11"/>
      <c r="C26" s="12"/>
      <c r="D26" s="12"/>
      <c r="E26" s="12"/>
      <c r="F26" s="12"/>
      <c r="G26" s="13"/>
    </row>
    <row r="27" spans="2:7" x14ac:dyDescent="0.25">
      <c r="B27" s="11"/>
      <c r="C27" s="19" t="s">
        <v>58</v>
      </c>
      <c r="D27" s="12"/>
      <c r="E27" s="29">
        <f ca="1">TODAY()</f>
        <v>44255</v>
      </c>
      <c r="F27" s="29"/>
      <c r="G27" s="13"/>
    </row>
    <row r="28" spans="2:7" x14ac:dyDescent="0.25">
      <c r="B28" s="11"/>
      <c r="C28" s="14"/>
      <c r="D28" s="12"/>
      <c r="E28" s="12"/>
      <c r="F28" s="12"/>
      <c r="G28" s="13"/>
    </row>
    <row r="29" spans="2:7" x14ac:dyDescent="0.25">
      <c r="B29" s="11"/>
      <c r="C29" s="14"/>
      <c r="D29" s="12"/>
      <c r="E29" s="12"/>
      <c r="F29" s="12"/>
      <c r="G29" s="13"/>
    </row>
    <row r="30" spans="2:7" x14ac:dyDescent="0.25">
      <c r="B30" s="11"/>
      <c r="C30" s="14"/>
      <c r="D30" s="12"/>
      <c r="E30" s="12"/>
      <c r="F30" s="12"/>
      <c r="G30" s="13"/>
    </row>
    <row r="31" spans="2:7" x14ac:dyDescent="0.25">
      <c r="B31" s="11"/>
      <c r="C31" s="14"/>
      <c r="D31" s="12"/>
      <c r="E31" s="12"/>
      <c r="F31" s="12"/>
      <c r="G31" s="13"/>
    </row>
    <row r="32" spans="2:7" x14ac:dyDescent="0.25">
      <c r="B32" s="11"/>
      <c r="C32" s="14"/>
      <c r="D32" s="12"/>
      <c r="E32" s="12"/>
      <c r="F32" s="12"/>
      <c r="G32" s="13"/>
    </row>
    <row r="33" spans="2:7" x14ac:dyDescent="0.25">
      <c r="B33" s="11"/>
      <c r="C33" s="14"/>
      <c r="D33" s="12"/>
      <c r="E33" s="12"/>
      <c r="F33" s="12"/>
      <c r="G33" s="13"/>
    </row>
    <row r="34" spans="2:7" x14ac:dyDescent="0.25">
      <c r="B34" s="11"/>
      <c r="C34" s="14"/>
      <c r="D34" s="12"/>
      <c r="E34" s="12"/>
      <c r="F34" s="12"/>
      <c r="G34" s="13"/>
    </row>
    <row r="35" spans="2:7" x14ac:dyDescent="0.25">
      <c r="B35" s="11"/>
      <c r="C35" s="14"/>
      <c r="D35" s="12"/>
      <c r="E35" s="12"/>
      <c r="F35" s="12"/>
      <c r="G35" s="13"/>
    </row>
    <row r="36" spans="2:7" x14ac:dyDescent="0.25">
      <c r="B36" s="11"/>
      <c r="C36" s="19" t="s">
        <v>64</v>
      </c>
      <c r="D36" s="15"/>
      <c r="E36" s="28" t="s">
        <v>59</v>
      </c>
      <c r="F36" s="28"/>
      <c r="G36" s="13"/>
    </row>
    <row r="37" spans="2:7" x14ac:dyDescent="0.25">
      <c r="B37" s="11"/>
      <c r="C37" s="14"/>
      <c r="D37" s="15"/>
      <c r="E37" s="14"/>
      <c r="F37" s="14"/>
      <c r="G37" s="13"/>
    </row>
    <row r="38" spans="2:7" x14ac:dyDescent="0.25">
      <c r="B38" s="11"/>
      <c r="C38" s="14"/>
      <c r="D38" s="15"/>
      <c r="E38" s="14"/>
      <c r="F38" s="14"/>
      <c r="G38" s="13"/>
    </row>
    <row r="39" spans="2:7" x14ac:dyDescent="0.25">
      <c r="B39" s="11"/>
      <c r="C39" s="14"/>
      <c r="D39" s="12"/>
      <c r="E39" s="12"/>
      <c r="F39" s="12"/>
      <c r="G39" s="13"/>
    </row>
    <row r="40" spans="2:7" x14ac:dyDescent="0.25">
      <c r="B40" s="11"/>
      <c r="C40" s="14"/>
      <c r="D40" s="12"/>
      <c r="E40" s="12"/>
      <c r="F40" s="12"/>
      <c r="G40" s="13"/>
    </row>
    <row r="41" spans="2:7" x14ac:dyDescent="0.25">
      <c r="B41" s="11"/>
      <c r="C41" s="14"/>
      <c r="D41" s="12"/>
      <c r="E41" s="12"/>
      <c r="F41" s="12"/>
      <c r="G41" s="13"/>
    </row>
    <row r="42" spans="2:7" x14ac:dyDescent="0.25">
      <c r="B42" s="11"/>
      <c r="C42" s="19" t="s">
        <v>63</v>
      </c>
      <c r="D42" s="12"/>
      <c r="E42" s="28" t="s">
        <v>63</v>
      </c>
      <c r="F42" s="28"/>
      <c r="G42" s="13"/>
    </row>
    <row r="43" spans="2:7" x14ac:dyDescent="0.25">
      <c r="B43" s="11"/>
      <c r="C43" s="14" t="s">
        <v>60</v>
      </c>
      <c r="D43" s="15"/>
      <c r="E43" s="28" t="s">
        <v>61</v>
      </c>
      <c r="F43" s="28"/>
      <c r="G43" s="13"/>
    </row>
    <row r="44" spans="2:7" x14ac:dyDescent="0.25">
      <c r="B44" s="11"/>
      <c r="C44" s="12"/>
      <c r="D44" s="12"/>
      <c r="E44" s="12"/>
      <c r="F44" s="12"/>
      <c r="G44" s="13"/>
    </row>
    <row r="45" spans="2:7" x14ac:dyDescent="0.25">
      <c r="B45" s="11"/>
      <c r="C45" s="12"/>
      <c r="D45" s="12"/>
      <c r="E45" s="12"/>
      <c r="F45" s="12"/>
      <c r="G45" s="13"/>
    </row>
    <row r="46" spans="2:7" x14ac:dyDescent="0.25">
      <c r="B46" s="11"/>
      <c r="C46" s="12"/>
      <c r="D46" s="12"/>
      <c r="E46" s="12"/>
      <c r="F46" s="12"/>
      <c r="G46" s="13"/>
    </row>
    <row r="47" spans="2:7" x14ac:dyDescent="0.25">
      <c r="B47" s="11"/>
      <c r="C47" s="12"/>
      <c r="D47" s="12"/>
      <c r="E47" s="12"/>
      <c r="F47" s="12"/>
      <c r="G47" s="13"/>
    </row>
    <row r="48" spans="2:7" x14ac:dyDescent="0.25">
      <c r="B48" s="11"/>
      <c r="C48" s="12"/>
      <c r="D48" s="12"/>
      <c r="E48" s="12"/>
      <c r="F48" s="12"/>
      <c r="G48" s="13"/>
    </row>
    <row r="49" spans="2:7" x14ac:dyDescent="0.25">
      <c r="B49" s="16"/>
      <c r="C49" s="17"/>
      <c r="D49" s="17"/>
      <c r="E49" s="17"/>
      <c r="F49" s="17"/>
      <c r="G49" s="18"/>
    </row>
  </sheetData>
  <mergeCells count="6">
    <mergeCell ref="C11:F11"/>
    <mergeCell ref="D21:F21"/>
    <mergeCell ref="E36:F36"/>
    <mergeCell ref="E27:F27"/>
    <mergeCell ref="E43:F43"/>
    <mergeCell ref="E42:F42"/>
  </mergeCells>
  <pageMargins left="0.7" right="0.7" top="0.78740157499999996" bottom="0.78740157499999996" header="0.3" footer="0.3"/>
  <pageSetup paperSize="9" scale="8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B5BC5-2CA0-4240-811C-D887823BEC8C}">
  <dimension ref="B2:U13"/>
  <sheetViews>
    <sheetView showGridLines="0" zoomScale="110" zoomScaleNormal="110" workbookViewId="0">
      <selection activeCell="J10" sqref="J10:N10"/>
    </sheetView>
  </sheetViews>
  <sheetFormatPr baseColWidth="10" defaultRowHeight="15" x14ac:dyDescent="0.25"/>
  <cols>
    <col min="1" max="1" width="8" customWidth="1"/>
  </cols>
  <sheetData>
    <row r="2" spans="2:21" x14ac:dyDescent="0.25">
      <c r="B2" s="33" t="s">
        <v>0</v>
      </c>
      <c r="C2" s="33"/>
      <c r="D2" s="33"/>
      <c r="E2" s="33"/>
      <c r="F2" s="33"/>
      <c r="G2" s="33"/>
      <c r="H2" s="33"/>
      <c r="I2" s="33"/>
      <c r="J2" s="33"/>
      <c r="K2" s="33"/>
      <c r="L2" s="33"/>
      <c r="M2" s="33"/>
      <c r="N2" s="33"/>
      <c r="O2" s="33"/>
      <c r="P2" s="33"/>
      <c r="Q2" s="33"/>
      <c r="R2" s="33"/>
      <c r="S2" s="33"/>
      <c r="T2" s="33"/>
      <c r="U2" s="33"/>
    </row>
    <row r="3" spans="2:21" ht="143.25" customHeight="1" x14ac:dyDescent="0.25">
      <c r="B3" s="34" t="s">
        <v>5</v>
      </c>
      <c r="C3" s="34"/>
      <c r="D3" s="34"/>
      <c r="E3" s="34"/>
      <c r="F3" s="34"/>
      <c r="G3" s="34"/>
      <c r="H3" s="34"/>
      <c r="I3" s="34"/>
      <c r="J3" s="34"/>
      <c r="K3" s="34"/>
      <c r="L3" s="34"/>
      <c r="M3" s="34"/>
      <c r="N3" s="34"/>
      <c r="O3" s="34"/>
      <c r="P3" s="34"/>
      <c r="Q3" s="34"/>
      <c r="R3" s="34"/>
      <c r="S3" s="34"/>
      <c r="T3" s="34"/>
      <c r="U3" s="34"/>
    </row>
    <row r="5" spans="2:21" x14ac:dyDescent="0.25">
      <c r="B5" s="35" t="s">
        <v>1</v>
      </c>
      <c r="C5" s="35"/>
      <c r="D5" s="35"/>
      <c r="E5" s="35"/>
      <c r="F5" s="35"/>
      <c r="G5" s="35"/>
      <c r="I5" s="35" t="s">
        <v>2</v>
      </c>
      <c r="J5" s="35"/>
      <c r="K5" s="35"/>
      <c r="L5" s="35"/>
      <c r="M5" s="35"/>
      <c r="N5" s="35"/>
      <c r="P5" s="35" t="s">
        <v>3</v>
      </c>
      <c r="Q5" s="35"/>
      <c r="R5" s="35"/>
      <c r="S5" s="35"/>
      <c r="T5" s="35"/>
      <c r="U5" s="35"/>
    </row>
    <row r="6" spans="2:21" ht="15" customHeight="1" x14ac:dyDescent="0.25">
      <c r="B6" s="34" t="s">
        <v>41</v>
      </c>
      <c r="C6" s="34"/>
      <c r="D6" s="34"/>
      <c r="E6" s="34"/>
      <c r="F6" s="34"/>
      <c r="G6" s="34"/>
      <c r="I6" s="34" t="s">
        <v>42</v>
      </c>
      <c r="J6" s="36"/>
      <c r="K6" s="36"/>
      <c r="L6" s="36"/>
      <c r="M6" s="36"/>
      <c r="N6" s="36"/>
      <c r="P6" s="34" t="s">
        <v>4</v>
      </c>
      <c r="Q6" s="36"/>
      <c r="R6" s="36"/>
      <c r="S6" s="36"/>
      <c r="T6" s="36"/>
      <c r="U6" s="36"/>
    </row>
    <row r="7" spans="2:21" ht="27" customHeight="1" x14ac:dyDescent="0.25">
      <c r="B7" s="34"/>
      <c r="C7" s="34"/>
      <c r="D7" s="34"/>
      <c r="E7" s="34"/>
      <c r="F7" s="34"/>
      <c r="G7" s="34"/>
      <c r="I7" s="36"/>
      <c r="J7" s="36"/>
      <c r="K7" s="36"/>
      <c r="L7" s="36"/>
      <c r="M7" s="36"/>
      <c r="N7" s="36"/>
      <c r="P7" s="36"/>
      <c r="Q7" s="36"/>
      <c r="R7" s="36"/>
      <c r="S7" s="36"/>
      <c r="T7" s="36"/>
      <c r="U7" s="36"/>
    </row>
    <row r="8" spans="2:21" ht="36" customHeight="1" x14ac:dyDescent="0.25">
      <c r="B8" s="34"/>
      <c r="C8" s="34"/>
      <c r="D8" s="34"/>
      <c r="E8" s="34"/>
      <c r="F8" s="34"/>
      <c r="G8" s="34"/>
      <c r="I8" s="36"/>
      <c r="J8" s="36"/>
      <c r="K8" s="36"/>
      <c r="L8" s="36"/>
      <c r="M8" s="36"/>
      <c r="N8" s="36"/>
      <c r="P8" s="36"/>
      <c r="Q8" s="36"/>
      <c r="R8" s="36"/>
      <c r="S8" s="36"/>
      <c r="T8" s="36"/>
      <c r="U8" s="36"/>
    </row>
    <row r="10" spans="2:21" ht="29.25" customHeight="1" x14ac:dyDescent="0.25">
      <c r="B10" s="5" t="s">
        <v>32</v>
      </c>
      <c r="C10" s="30" t="s">
        <v>43</v>
      </c>
      <c r="D10" s="31"/>
      <c r="E10" s="31"/>
      <c r="F10" s="31"/>
      <c r="G10" s="32"/>
      <c r="I10" s="5" t="s">
        <v>32</v>
      </c>
      <c r="J10" s="30" t="s">
        <v>44</v>
      </c>
      <c r="K10" s="31"/>
      <c r="L10" s="31"/>
      <c r="M10" s="31"/>
      <c r="N10" s="32"/>
      <c r="P10" s="5" t="s">
        <v>32</v>
      </c>
      <c r="Q10" s="30" t="s">
        <v>45</v>
      </c>
      <c r="R10" s="31"/>
      <c r="S10" s="31"/>
      <c r="T10" s="31"/>
      <c r="U10" s="32"/>
    </row>
    <row r="11" spans="2:21" ht="63" customHeight="1" x14ac:dyDescent="0.25">
      <c r="B11" s="5" t="s">
        <v>38</v>
      </c>
      <c r="C11" s="30"/>
      <c r="D11" s="31"/>
      <c r="E11" s="31"/>
      <c r="F11" s="31"/>
      <c r="G11" s="32"/>
      <c r="I11" s="5" t="s">
        <v>38</v>
      </c>
      <c r="J11" s="30"/>
      <c r="K11" s="31"/>
      <c r="L11" s="31"/>
      <c r="M11" s="31"/>
      <c r="N11" s="32"/>
      <c r="P11" s="5" t="s">
        <v>38</v>
      </c>
      <c r="Q11" s="30"/>
      <c r="R11" s="31"/>
      <c r="S11" s="31"/>
      <c r="T11" s="31"/>
      <c r="U11" s="32"/>
    </row>
    <row r="13" spans="2:21" x14ac:dyDescent="0.25">
      <c r="B13" s="2" t="s">
        <v>33</v>
      </c>
      <c r="C13" s="37" t="str">
        <f>IF(LEFT(C10,1)="1","Normal",IF(LEFT(C10,1)="2","Hoch",IF(LEFT(C10,1)="3","Sehr Hoch","-")))</f>
        <v>Normal</v>
      </c>
      <c r="D13" s="37"/>
      <c r="E13" s="37"/>
      <c r="F13" s="37"/>
      <c r="G13" s="37"/>
      <c r="I13" s="2" t="s">
        <v>33</v>
      </c>
      <c r="J13" s="37" t="str">
        <f>IF(LEFT(J10,1)="1","Normal",IF(LEFT(J10,1)="2","Hoch",IF(LEFT(J10,1)="3","Sehr Hoch","-")))</f>
        <v>Hoch</v>
      </c>
      <c r="K13" s="37"/>
      <c r="L13" s="37"/>
      <c r="M13" s="37"/>
      <c r="N13" s="37"/>
      <c r="P13" s="2" t="s">
        <v>33</v>
      </c>
      <c r="Q13" s="37" t="str">
        <f>IF(LEFT(Q10,1)="1","Normal",IF(LEFT(Q10,1)="2","Hoch",IF(LEFT(Q10,1)="3","Sehr Hoch","-")))</f>
        <v>Sehr Hoch</v>
      </c>
      <c r="R13" s="37"/>
      <c r="S13" s="37"/>
      <c r="T13" s="37"/>
      <c r="U13" s="37"/>
    </row>
  </sheetData>
  <mergeCells count="17">
    <mergeCell ref="C11:G11"/>
    <mergeCell ref="J11:N11"/>
    <mergeCell ref="Q11:U11"/>
    <mergeCell ref="C13:G13"/>
    <mergeCell ref="J13:N13"/>
    <mergeCell ref="Q13:U13"/>
    <mergeCell ref="C10:G10"/>
    <mergeCell ref="B2:U2"/>
    <mergeCell ref="B3:U3"/>
    <mergeCell ref="B5:G5"/>
    <mergeCell ref="I5:N5"/>
    <mergeCell ref="P5:U5"/>
    <mergeCell ref="B6:G8"/>
    <mergeCell ref="I6:N8"/>
    <mergeCell ref="P6:U8"/>
    <mergeCell ref="J10:N10"/>
    <mergeCell ref="Q10:U10"/>
  </mergeCells>
  <conditionalFormatting sqref="C13 J13 Q13">
    <cfRule type="beginsWith" dxfId="17" priority="1" operator="beginsWith" text="Hoch">
      <formula>LEFT(C13,LEN("Hoch"))="Hoch"</formula>
    </cfRule>
    <cfRule type="containsText" dxfId="16" priority="2" operator="containsText" text="Normal">
      <formula>NOT(ISERROR(SEARCH("Normal",C13)))</formula>
    </cfRule>
    <cfRule type="beginsWith" dxfId="15" priority="3" operator="beginsWith" text="Sehr Hoch">
      <formula>LEFT(C13,LEN("Sehr Hoch"))="Sehr Hoch"</formula>
    </cfRule>
  </conditionalFormatting>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485B9B5-E7E4-4FE7-9C44-16C23EAC40D5}">
          <x14:formula1>
            <xm:f>Daten!$B$4:$B$6</xm:f>
          </x14:formula1>
          <xm:sqref>J10:N10 Q10:U10 C10:G10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AB3EE-F91D-4E8A-B7E1-E1D6356F3E82}">
  <dimension ref="C2:V13"/>
  <sheetViews>
    <sheetView showGridLines="0" topLeftCell="B1" zoomScale="110" zoomScaleNormal="110" workbookViewId="0">
      <selection activeCell="R10" sqref="R10:V10"/>
    </sheetView>
  </sheetViews>
  <sheetFormatPr baseColWidth="10" defaultRowHeight="15" x14ac:dyDescent="0.25"/>
  <cols>
    <col min="2" max="2" width="8" customWidth="1"/>
  </cols>
  <sheetData>
    <row r="2" spans="3:22" x14ac:dyDescent="0.25">
      <c r="C2" s="33" t="s">
        <v>6</v>
      </c>
      <c r="D2" s="33"/>
      <c r="E2" s="33"/>
      <c r="F2" s="33"/>
      <c r="G2" s="33"/>
      <c r="H2" s="33"/>
      <c r="I2" s="33"/>
      <c r="J2" s="33"/>
      <c r="K2" s="33"/>
      <c r="L2" s="33"/>
      <c r="M2" s="33"/>
      <c r="N2" s="33"/>
      <c r="O2" s="33"/>
      <c r="P2" s="33"/>
      <c r="Q2" s="33"/>
      <c r="R2" s="33"/>
      <c r="S2" s="33"/>
      <c r="T2" s="33"/>
      <c r="U2" s="33"/>
      <c r="V2" s="33"/>
    </row>
    <row r="3" spans="3:22" ht="109.5" customHeight="1" x14ac:dyDescent="0.25">
      <c r="C3" s="34" t="s">
        <v>7</v>
      </c>
      <c r="D3" s="34"/>
      <c r="E3" s="34"/>
      <c r="F3" s="34"/>
      <c r="G3" s="34"/>
      <c r="H3" s="34"/>
      <c r="I3" s="34"/>
      <c r="J3" s="34"/>
      <c r="K3" s="34"/>
      <c r="L3" s="34"/>
      <c r="M3" s="34"/>
      <c r="N3" s="34"/>
      <c r="O3" s="34"/>
      <c r="P3" s="34"/>
      <c r="Q3" s="34"/>
      <c r="R3" s="34"/>
      <c r="S3" s="34"/>
      <c r="T3" s="34"/>
      <c r="U3" s="34"/>
      <c r="V3" s="34"/>
    </row>
    <row r="5" spans="3:22" x14ac:dyDescent="0.25">
      <c r="C5" s="35" t="s">
        <v>1</v>
      </c>
      <c r="D5" s="35"/>
      <c r="E5" s="35"/>
      <c r="F5" s="35"/>
      <c r="G5" s="35"/>
      <c r="H5" s="35"/>
      <c r="J5" s="35" t="s">
        <v>2</v>
      </c>
      <c r="K5" s="35"/>
      <c r="L5" s="35"/>
      <c r="M5" s="35"/>
      <c r="N5" s="35"/>
      <c r="O5" s="35"/>
      <c r="Q5" s="35" t="s">
        <v>3</v>
      </c>
      <c r="R5" s="35"/>
      <c r="S5" s="35"/>
      <c r="T5" s="35"/>
      <c r="U5" s="35"/>
      <c r="V5" s="35"/>
    </row>
    <row r="6" spans="3:22" ht="15" customHeight="1" x14ac:dyDescent="0.25">
      <c r="C6" s="34" t="s">
        <v>8</v>
      </c>
      <c r="D6" s="34"/>
      <c r="E6" s="34"/>
      <c r="F6" s="34"/>
      <c r="G6" s="34"/>
      <c r="H6" s="34"/>
      <c r="J6" s="34" t="s">
        <v>9</v>
      </c>
      <c r="K6" s="36"/>
      <c r="L6" s="36"/>
      <c r="M6" s="36"/>
      <c r="N6" s="36"/>
      <c r="O6" s="36"/>
      <c r="Q6" s="34" t="s">
        <v>10</v>
      </c>
      <c r="R6" s="36"/>
      <c r="S6" s="36"/>
      <c r="T6" s="36"/>
      <c r="U6" s="36"/>
      <c r="V6" s="36"/>
    </row>
    <row r="7" spans="3:22" ht="27" customHeight="1" x14ac:dyDescent="0.25">
      <c r="C7" s="34"/>
      <c r="D7" s="34"/>
      <c r="E7" s="34"/>
      <c r="F7" s="34"/>
      <c r="G7" s="34"/>
      <c r="H7" s="34"/>
      <c r="J7" s="36"/>
      <c r="K7" s="36"/>
      <c r="L7" s="36"/>
      <c r="M7" s="36"/>
      <c r="N7" s="36"/>
      <c r="O7" s="36"/>
      <c r="Q7" s="36"/>
      <c r="R7" s="36"/>
      <c r="S7" s="36"/>
      <c r="T7" s="36"/>
      <c r="U7" s="36"/>
      <c r="V7" s="36"/>
    </row>
    <row r="8" spans="3:22" ht="93.75" customHeight="1" x14ac:dyDescent="0.25">
      <c r="C8" s="34"/>
      <c r="D8" s="34"/>
      <c r="E8" s="34"/>
      <c r="F8" s="34"/>
      <c r="G8" s="34"/>
      <c r="H8" s="34"/>
      <c r="J8" s="36"/>
      <c r="K8" s="36"/>
      <c r="L8" s="36"/>
      <c r="M8" s="36"/>
      <c r="N8" s="36"/>
      <c r="O8" s="36"/>
      <c r="Q8" s="36"/>
      <c r="R8" s="36"/>
      <c r="S8" s="36"/>
      <c r="T8" s="36"/>
      <c r="U8" s="36"/>
      <c r="V8" s="36"/>
    </row>
    <row r="10" spans="3:22" ht="28.5" customHeight="1" x14ac:dyDescent="0.25">
      <c r="C10" s="4" t="s">
        <v>32</v>
      </c>
      <c r="D10" s="30" t="s">
        <v>46</v>
      </c>
      <c r="E10" s="31"/>
      <c r="F10" s="31"/>
      <c r="G10" s="31"/>
      <c r="H10" s="32"/>
      <c r="J10" s="4" t="s">
        <v>32</v>
      </c>
      <c r="K10" s="30" t="s">
        <v>46</v>
      </c>
      <c r="L10" s="31"/>
      <c r="M10" s="31"/>
      <c r="N10" s="31"/>
      <c r="O10" s="32"/>
      <c r="Q10" s="4" t="s">
        <v>32</v>
      </c>
      <c r="R10" s="30" t="s">
        <v>46</v>
      </c>
      <c r="S10" s="31"/>
      <c r="T10" s="31"/>
      <c r="U10" s="31"/>
      <c r="V10" s="32"/>
    </row>
    <row r="11" spans="3:22" ht="77.25" customHeight="1" x14ac:dyDescent="0.25">
      <c r="C11" s="4" t="s">
        <v>38</v>
      </c>
      <c r="D11" s="38"/>
      <c r="E11" s="39"/>
      <c r="F11" s="39"/>
      <c r="G11" s="39"/>
      <c r="H11" s="40"/>
      <c r="J11" s="4" t="s">
        <v>38</v>
      </c>
      <c r="K11" s="38"/>
      <c r="L11" s="39"/>
      <c r="M11" s="39"/>
      <c r="N11" s="39"/>
      <c r="O11" s="40"/>
      <c r="Q11" s="4" t="s">
        <v>38</v>
      </c>
      <c r="R11" s="38"/>
      <c r="S11" s="39"/>
      <c r="T11" s="39"/>
      <c r="U11" s="39"/>
      <c r="V11" s="40"/>
    </row>
    <row r="13" spans="3:22" x14ac:dyDescent="0.25">
      <c r="C13" s="2" t="s">
        <v>33</v>
      </c>
      <c r="D13" s="37" t="str">
        <f>IF(LEFT(D10,1)="1","Normal",IF(LEFT(D10,1)="2","Hoch",IF(LEFT(D10,1)="3","Sehr Hoch","-")))</f>
        <v>Normal</v>
      </c>
      <c r="E13" s="37"/>
      <c r="F13" s="37"/>
      <c r="G13" s="37"/>
      <c r="H13" s="37"/>
      <c r="J13" s="2" t="s">
        <v>33</v>
      </c>
      <c r="K13" s="37" t="str">
        <f>IF(LEFT(K10,1)="1","Normal",IF(LEFT(K10,1)="2","Hoch",IF(LEFT(K10,1)="3","Sehr Hoch","-")))</f>
        <v>Normal</v>
      </c>
      <c r="L13" s="37"/>
      <c r="M13" s="37"/>
      <c r="N13" s="37"/>
      <c r="O13" s="37"/>
      <c r="Q13" s="2" t="s">
        <v>33</v>
      </c>
      <c r="R13" s="37" t="str">
        <f>IF(LEFT(R10,1)="1","Normal",IF(LEFT(R10,1)="2","Hoch",IF(LEFT(R10,1)="3","Sehr Hoch","-")))</f>
        <v>Normal</v>
      </c>
      <c r="S13" s="37"/>
      <c r="T13" s="37"/>
      <c r="U13" s="37"/>
      <c r="V13" s="37"/>
    </row>
  </sheetData>
  <mergeCells count="17">
    <mergeCell ref="R13:V13"/>
    <mergeCell ref="K13:O13"/>
    <mergeCell ref="D13:H13"/>
    <mergeCell ref="C2:V2"/>
    <mergeCell ref="D10:H10"/>
    <mergeCell ref="K10:O10"/>
    <mergeCell ref="R10:V10"/>
    <mergeCell ref="D11:H11"/>
    <mergeCell ref="K11:O11"/>
    <mergeCell ref="R11:V11"/>
    <mergeCell ref="C6:H8"/>
    <mergeCell ref="J5:O5"/>
    <mergeCell ref="J6:O8"/>
    <mergeCell ref="Q5:V5"/>
    <mergeCell ref="C3:V3"/>
    <mergeCell ref="Q6:V8"/>
    <mergeCell ref="C5:H5"/>
  </mergeCells>
  <conditionalFormatting sqref="D13 K13 R13">
    <cfRule type="beginsWith" dxfId="14" priority="1" operator="beginsWith" text="Sehr Hoch">
      <formula>LEFT(D13,LEN("Sehr Hoch"))="Sehr Hoch"</formula>
    </cfRule>
    <cfRule type="beginsWith" dxfId="13" priority="2" operator="beginsWith" text="Hoch">
      <formula>LEFT(D13,LEN("Hoch"))="Hoch"</formula>
    </cfRule>
    <cfRule type="containsText" dxfId="12" priority="3" operator="containsText" text="Normal">
      <formula>NOT(ISERROR(SEARCH("Normal",D13)))</formula>
    </cfRule>
  </conditionalFormatting>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D85B164-6E99-483B-8BB8-47EBB5242D16}">
          <x14:formula1>
            <xm:f>Daten!$D$4:$D$6</xm:f>
          </x14:formula1>
          <xm:sqref>K10:O10 D10:H10 R10:V10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5663F-5730-4C80-B949-B0F280F9DB8D}">
  <dimension ref="C2:V13"/>
  <sheetViews>
    <sheetView showGridLines="0" topLeftCell="B1" zoomScale="110" zoomScaleNormal="110" workbookViewId="0">
      <selection activeCell="K10" sqref="K10:O10"/>
    </sheetView>
  </sheetViews>
  <sheetFormatPr baseColWidth="10" defaultRowHeight="15" x14ac:dyDescent="0.25"/>
  <cols>
    <col min="2" max="2" width="8" customWidth="1"/>
  </cols>
  <sheetData>
    <row r="2" spans="3:22" x14ac:dyDescent="0.25">
      <c r="C2" s="33" t="s">
        <v>11</v>
      </c>
      <c r="D2" s="33"/>
      <c r="E2" s="33"/>
      <c r="F2" s="33"/>
      <c r="G2" s="33"/>
      <c r="H2" s="33"/>
      <c r="I2" s="33"/>
      <c r="J2" s="33"/>
      <c r="K2" s="33"/>
      <c r="L2" s="33"/>
      <c r="M2" s="33"/>
      <c r="N2" s="33"/>
      <c r="O2" s="33"/>
      <c r="P2" s="33"/>
      <c r="Q2" s="33"/>
      <c r="R2" s="33"/>
      <c r="S2" s="33"/>
      <c r="T2" s="33"/>
      <c r="U2" s="33"/>
      <c r="V2" s="33"/>
    </row>
    <row r="3" spans="3:22" ht="93.75" customHeight="1" x14ac:dyDescent="0.25">
      <c r="C3" s="34" t="s">
        <v>12</v>
      </c>
      <c r="D3" s="34"/>
      <c r="E3" s="34"/>
      <c r="F3" s="34"/>
      <c r="G3" s="34"/>
      <c r="H3" s="34"/>
      <c r="I3" s="34"/>
      <c r="J3" s="34"/>
      <c r="K3" s="34"/>
      <c r="L3" s="34"/>
      <c r="M3" s="34"/>
      <c r="N3" s="34"/>
      <c r="O3" s="34"/>
      <c r="P3" s="34"/>
      <c r="Q3" s="34"/>
      <c r="R3" s="34"/>
      <c r="S3" s="34"/>
      <c r="T3" s="34"/>
      <c r="U3" s="34"/>
      <c r="V3" s="34"/>
    </row>
    <row r="5" spans="3:22" x14ac:dyDescent="0.25">
      <c r="C5" s="35" t="s">
        <v>1</v>
      </c>
      <c r="D5" s="35"/>
      <c r="E5" s="35"/>
      <c r="F5" s="35"/>
      <c r="G5" s="35"/>
      <c r="H5" s="35"/>
      <c r="J5" s="35" t="s">
        <v>2</v>
      </c>
      <c r="K5" s="35"/>
      <c r="L5" s="35"/>
      <c r="M5" s="35"/>
      <c r="N5" s="35"/>
      <c r="O5" s="35"/>
      <c r="Q5" s="35" t="s">
        <v>3</v>
      </c>
      <c r="R5" s="35"/>
      <c r="S5" s="35"/>
      <c r="T5" s="35"/>
      <c r="U5" s="35"/>
      <c r="V5" s="35"/>
    </row>
    <row r="6" spans="3:22" ht="15" customHeight="1" x14ac:dyDescent="0.25">
      <c r="C6" s="34" t="s">
        <v>13</v>
      </c>
      <c r="D6" s="34"/>
      <c r="E6" s="34"/>
      <c r="F6" s="34"/>
      <c r="G6" s="34"/>
      <c r="H6" s="34"/>
      <c r="J6" s="34" t="s">
        <v>14</v>
      </c>
      <c r="K6" s="36"/>
      <c r="L6" s="36"/>
      <c r="M6" s="36"/>
      <c r="N6" s="36"/>
      <c r="O6" s="36"/>
      <c r="Q6" s="34" t="s">
        <v>15</v>
      </c>
      <c r="R6" s="36"/>
      <c r="S6" s="36"/>
      <c r="T6" s="36"/>
      <c r="U6" s="36"/>
      <c r="V6" s="36"/>
    </row>
    <row r="7" spans="3:22" ht="27" customHeight="1" x14ac:dyDescent="0.25">
      <c r="C7" s="34"/>
      <c r="D7" s="34"/>
      <c r="E7" s="34"/>
      <c r="F7" s="34"/>
      <c r="G7" s="34"/>
      <c r="H7" s="34"/>
      <c r="J7" s="36"/>
      <c r="K7" s="36"/>
      <c r="L7" s="36"/>
      <c r="M7" s="36"/>
      <c r="N7" s="36"/>
      <c r="O7" s="36"/>
      <c r="Q7" s="36"/>
      <c r="R7" s="36"/>
      <c r="S7" s="36"/>
      <c r="T7" s="36"/>
      <c r="U7" s="36"/>
      <c r="V7" s="36"/>
    </row>
    <row r="8" spans="3:22" ht="6.75" customHeight="1" x14ac:dyDescent="0.25">
      <c r="C8" s="34"/>
      <c r="D8" s="34"/>
      <c r="E8" s="34"/>
      <c r="F8" s="34"/>
      <c r="G8" s="34"/>
      <c r="H8" s="34"/>
      <c r="J8" s="36"/>
      <c r="K8" s="36"/>
      <c r="L8" s="36"/>
      <c r="M8" s="36"/>
      <c r="N8" s="36"/>
      <c r="O8" s="36"/>
      <c r="Q8" s="36"/>
      <c r="R8" s="36"/>
      <c r="S8" s="36"/>
      <c r="T8" s="36"/>
      <c r="U8" s="36"/>
      <c r="V8" s="36"/>
    </row>
    <row r="10" spans="3:22" ht="33.75" customHeight="1" x14ac:dyDescent="0.25">
      <c r="C10" s="2" t="s">
        <v>32</v>
      </c>
      <c r="D10" s="30" t="s">
        <v>51</v>
      </c>
      <c r="E10" s="31"/>
      <c r="F10" s="31"/>
      <c r="G10" s="31"/>
      <c r="H10" s="32"/>
      <c r="J10" s="2" t="s">
        <v>32</v>
      </c>
      <c r="K10" s="30" t="s">
        <v>50</v>
      </c>
      <c r="L10" s="31"/>
      <c r="M10" s="31"/>
      <c r="N10" s="31"/>
      <c r="O10" s="32"/>
      <c r="Q10" s="2" t="s">
        <v>32</v>
      </c>
      <c r="R10" s="30" t="s">
        <v>49</v>
      </c>
      <c r="S10" s="31"/>
      <c r="T10" s="31"/>
      <c r="U10" s="31"/>
      <c r="V10" s="32"/>
    </row>
    <row r="11" spans="3:22" ht="82.5" customHeight="1" x14ac:dyDescent="0.25">
      <c r="C11" s="4" t="s">
        <v>38</v>
      </c>
      <c r="D11" s="38"/>
      <c r="E11" s="39"/>
      <c r="F11" s="39"/>
      <c r="G11" s="39"/>
      <c r="H11" s="40"/>
      <c r="J11" s="4" t="s">
        <v>38</v>
      </c>
      <c r="K11" s="38"/>
      <c r="L11" s="39"/>
      <c r="M11" s="39"/>
      <c r="N11" s="39"/>
      <c r="O11" s="40"/>
      <c r="Q11" s="4" t="s">
        <v>38</v>
      </c>
      <c r="R11" s="38"/>
      <c r="S11" s="39"/>
      <c r="T11" s="39"/>
      <c r="U11" s="39"/>
      <c r="V11" s="40"/>
    </row>
    <row r="13" spans="3:22" x14ac:dyDescent="0.25">
      <c r="C13" s="2" t="s">
        <v>33</v>
      </c>
      <c r="D13" s="37" t="str">
        <f>IF(LEFT(D10,1)="1","Normal",IF(LEFT(D10,1)="2","Hoch",IF(LEFT(D10,1)="3","Sehr Hoch","-")))</f>
        <v>Sehr Hoch</v>
      </c>
      <c r="E13" s="37"/>
      <c r="F13" s="37"/>
      <c r="G13" s="37"/>
      <c r="H13" s="37"/>
      <c r="J13" s="2" t="s">
        <v>33</v>
      </c>
      <c r="K13" s="37" t="str">
        <f>IF(LEFT(K10,1)="1","Normal",IF(LEFT(K10,1)="2","Hoch",IF(LEFT(K10,1)="3","Sehr Hoch","-")))</f>
        <v>Hoch</v>
      </c>
      <c r="L13" s="37"/>
      <c r="M13" s="37"/>
      <c r="N13" s="37"/>
      <c r="O13" s="37"/>
      <c r="Q13" s="2" t="s">
        <v>33</v>
      </c>
      <c r="R13" s="37" t="str">
        <f>IF(LEFT(R10,1)="1","Normal",IF(LEFT(R10,1)="2","Hoch",IF(LEFT(R10,1)="3","Sehr Hoch","-")))</f>
        <v>Normal</v>
      </c>
      <c r="S13" s="37"/>
      <c r="T13" s="37"/>
      <c r="U13" s="37"/>
      <c r="V13" s="37"/>
    </row>
  </sheetData>
  <mergeCells count="17">
    <mergeCell ref="D11:H11"/>
    <mergeCell ref="K11:O11"/>
    <mergeCell ref="R11:V11"/>
    <mergeCell ref="R13:V13"/>
    <mergeCell ref="K13:O13"/>
    <mergeCell ref="D13:H13"/>
    <mergeCell ref="C6:H8"/>
    <mergeCell ref="J6:O8"/>
    <mergeCell ref="Q6:V8"/>
    <mergeCell ref="D10:H10"/>
    <mergeCell ref="K10:O10"/>
    <mergeCell ref="R10:V10"/>
    <mergeCell ref="C2:V2"/>
    <mergeCell ref="C3:V3"/>
    <mergeCell ref="C5:H5"/>
    <mergeCell ref="J5:O5"/>
    <mergeCell ref="Q5:V5"/>
  </mergeCells>
  <conditionalFormatting sqref="D13 K13 R13">
    <cfRule type="beginsWith" dxfId="11" priority="1" operator="beginsWith" text="Sehr Hoch">
      <formula>LEFT(D13,LEN("Sehr Hoch"))="Sehr Hoch"</formula>
    </cfRule>
    <cfRule type="beginsWith" dxfId="10" priority="2" operator="beginsWith" text="Hoch">
      <formula>LEFT(D13,LEN("Hoch"))="Hoch"</formula>
    </cfRule>
    <cfRule type="containsText" dxfId="9" priority="3" operator="containsText" text="Normal">
      <formula>NOT(ISERROR(SEARCH("Normal",D13)))</formula>
    </cfRule>
  </conditionalFormatting>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39B04DE-8390-4255-B1DB-3114A014582D}">
          <x14:formula1>
            <xm:f>Daten!$F$4:$F$6</xm:f>
          </x14:formula1>
          <xm:sqref>R10:V10 D10:H10 K10:O10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2F375-0FEC-412E-B417-EE2C935E960E}">
  <dimension ref="B2:U13"/>
  <sheetViews>
    <sheetView showGridLines="0" zoomScale="110" zoomScaleNormal="110" workbookViewId="0">
      <selection activeCell="J13" sqref="J13:N13"/>
    </sheetView>
  </sheetViews>
  <sheetFormatPr baseColWidth="10" defaultRowHeight="15" x14ac:dyDescent="0.25"/>
  <cols>
    <col min="1" max="1" width="8" customWidth="1"/>
  </cols>
  <sheetData>
    <row r="2" spans="2:21" x14ac:dyDescent="0.25">
      <c r="B2" s="33" t="s">
        <v>20</v>
      </c>
      <c r="C2" s="33"/>
      <c r="D2" s="33"/>
      <c r="E2" s="33"/>
      <c r="F2" s="33"/>
      <c r="G2" s="33"/>
      <c r="H2" s="33"/>
      <c r="I2" s="33"/>
      <c r="J2" s="33"/>
      <c r="K2" s="33"/>
      <c r="L2" s="33"/>
      <c r="M2" s="33"/>
      <c r="N2" s="33"/>
      <c r="O2" s="33"/>
      <c r="P2" s="33"/>
      <c r="Q2" s="33"/>
      <c r="R2" s="33"/>
      <c r="S2" s="33"/>
      <c r="T2" s="33"/>
      <c r="U2" s="33"/>
    </row>
    <row r="3" spans="2:21" ht="109.5" customHeight="1" x14ac:dyDescent="0.25">
      <c r="B3" s="34" t="s">
        <v>16</v>
      </c>
      <c r="C3" s="34"/>
      <c r="D3" s="34"/>
      <c r="E3" s="34"/>
      <c r="F3" s="34"/>
      <c r="G3" s="34"/>
      <c r="H3" s="34"/>
      <c r="I3" s="34"/>
      <c r="J3" s="34"/>
      <c r="K3" s="34"/>
      <c r="L3" s="34"/>
      <c r="M3" s="34"/>
      <c r="N3" s="34"/>
      <c r="O3" s="34"/>
      <c r="P3" s="34"/>
      <c r="Q3" s="34"/>
      <c r="R3" s="34"/>
      <c r="S3" s="34"/>
      <c r="T3" s="34"/>
      <c r="U3" s="34"/>
    </row>
    <row r="5" spans="2:21" x14ac:dyDescent="0.25">
      <c r="B5" s="35" t="s">
        <v>1</v>
      </c>
      <c r="C5" s="35"/>
      <c r="D5" s="35"/>
      <c r="E5" s="35"/>
      <c r="F5" s="35"/>
      <c r="G5" s="35"/>
      <c r="I5" s="35" t="s">
        <v>2</v>
      </c>
      <c r="J5" s="35"/>
      <c r="K5" s="35"/>
      <c r="L5" s="35"/>
      <c r="M5" s="35"/>
      <c r="N5" s="35"/>
      <c r="P5" s="35" t="s">
        <v>3</v>
      </c>
      <c r="Q5" s="35"/>
      <c r="R5" s="35"/>
      <c r="S5" s="35"/>
      <c r="T5" s="35"/>
      <c r="U5" s="35"/>
    </row>
    <row r="6" spans="2:21" ht="15" customHeight="1" x14ac:dyDescent="0.25">
      <c r="B6" s="34" t="s">
        <v>17</v>
      </c>
      <c r="C6" s="34"/>
      <c r="D6" s="34"/>
      <c r="E6" s="34"/>
      <c r="F6" s="34"/>
      <c r="G6" s="34"/>
      <c r="I6" s="34" t="s">
        <v>18</v>
      </c>
      <c r="J6" s="36"/>
      <c r="K6" s="36"/>
      <c r="L6" s="36"/>
      <c r="M6" s="36"/>
      <c r="N6" s="36"/>
      <c r="P6" s="34" t="s">
        <v>19</v>
      </c>
      <c r="Q6" s="36"/>
      <c r="R6" s="36"/>
      <c r="S6" s="36"/>
      <c r="T6" s="36"/>
      <c r="U6" s="36"/>
    </row>
    <row r="7" spans="2:21" ht="27" customHeight="1" x14ac:dyDescent="0.25">
      <c r="B7" s="34"/>
      <c r="C7" s="34"/>
      <c r="D7" s="34"/>
      <c r="E7" s="34"/>
      <c r="F7" s="34"/>
      <c r="G7" s="34"/>
      <c r="I7" s="36"/>
      <c r="J7" s="36"/>
      <c r="K7" s="36"/>
      <c r="L7" s="36"/>
      <c r="M7" s="36"/>
      <c r="N7" s="36"/>
      <c r="P7" s="36"/>
      <c r="Q7" s="36"/>
      <c r="R7" s="36"/>
      <c r="S7" s="36"/>
      <c r="T7" s="36"/>
      <c r="U7" s="36"/>
    </row>
    <row r="8" spans="2:21" ht="96.75" customHeight="1" x14ac:dyDescent="0.25">
      <c r="B8" s="34"/>
      <c r="C8" s="34"/>
      <c r="D8" s="34"/>
      <c r="E8" s="34"/>
      <c r="F8" s="34"/>
      <c r="G8" s="34"/>
      <c r="I8" s="36"/>
      <c r="J8" s="36"/>
      <c r="K8" s="36"/>
      <c r="L8" s="36"/>
      <c r="M8" s="36"/>
      <c r="N8" s="36"/>
      <c r="P8" s="36"/>
      <c r="Q8" s="36"/>
      <c r="R8" s="36"/>
      <c r="S8" s="36"/>
      <c r="T8" s="36"/>
      <c r="U8" s="36"/>
    </row>
    <row r="10" spans="2:21" ht="30.75" customHeight="1" x14ac:dyDescent="0.25">
      <c r="B10" s="2" t="s">
        <v>32</v>
      </c>
      <c r="C10" s="30" t="s">
        <v>54</v>
      </c>
      <c r="D10" s="31"/>
      <c r="E10" s="31"/>
      <c r="F10" s="31"/>
      <c r="G10" s="32"/>
      <c r="I10" s="2" t="s">
        <v>32</v>
      </c>
      <c r="J10" s="30" t="s">
        <v>54</v>
      </c>
      <c r="K10" s="31"/>
      <c r="L10" s="31"/>
      <c r="M10" s="31"/>
      <c r="N10" s="32"/>
      <c r="P10" s="2" t="s">
        <v>32</v>
      </c>
      <c r="Q10" s="30" t="s">
        <v>52</v>
      </c>
      <c r="R10" s="31"/>
      <c r="S10" s="31"/>
      <c r="T10" s="31"/>
      <c r="U10" s="32"/>
    </row>
    <row r="11" spans="2:21" ht="72" customHeight="1" x14ac:dyDescent="0.25">
      <c r="B11" s="4" t="s">
        <v>38</v>
      </c>
      <c r="C11" s="38"/>
      <c r="D11" s="39"/>
      <c r="E11" s="39"/>
      <c r="F11" s="39"/>
      <c r="G11" s="40"/>
      <c r="I11" s="4" t="s">
        <v>38</v>
      </c>
      <c r="J11" s="38"/>
      <c r="K11" s="39"/>
      <c r="L11" s="39"/>
      <c r="M11" s="39"/>
      <c r="N11" s="40"/>
      <c r="P11" s="4" t="s">
        <v>38</v>
      </c>
      <c r="Q11" s="38"/>
      <c r="R11" s="39"/>
      <c r="S11" s="39"/>
      <c r="T11" s="39"/>
      <c r="U11" s="40"/>
    </row>
    <row r="13" spans="2:21" x14ac:dyDescent="0.25">
      <c r="B13" s="2" t="s">
        <v>33</v>
      </c>
      <c r="C13" s="37" t="str">
        <f>IF(LEFT(C10,1)="1","Normal",IF(LEFT(C10,1)="2","Hoch",IF(LEFT(C10,1)="3","Sehr Hoch","-")))</f>
        <v>Sehr Hoch</v>
      </c>
      <c r="D13" s="37"/>
      <c r="E13" s="37"/>
      <c r="F13" s="37"/>
      <c r="G13" s="37"/>
      <c r="I13" s="2" t="s">
        <v>33</v>
      </c>
      <c r="J13" s="37" t="str">
        <f>IF(LEFT(J10,1)="1","Normal",IF(LEFT(J10,1)="2","Hoch",IF(LEFT(J10,1)="3","Sehr Hoch","-")))</f>
        <v>Sehr Hoch</v>
      </c>
      <c r="K13" s="37"/>
      <c r="L13" s="37"/>
      <c r="M13" s="37"/>
      <c r="N13" s="37"/>
      <c r="P13" s="2" t="s">
        <v>33</v>
      </c>
      <c r="Q13" s="37" t="str">
        <f>IF(LEFT(Q10,1)="1","Normal",IF(LEFT(Q10,1)="2","Hoch",IF(LEFT(Q10,1)="3","Sehr Hoch","-")))</f>
        <v>Normal</v>
      </c>
      <c r="R13" s="37"/>
      <c r="S13" s="37"/>
      <c r="T13" s="37"/>
      <c r="U13" s="37"/>
    </row>
  </sheetData>
  <mergeCells count="17">
    <mergeCell ref="C11:G11"/>
    <mergeCell ref="J11:N11"/>
    <mergeCell ref="Q11:U11"/>
    <mergeCell ref="Q13:U13"/>
    <mergeCell ref="J13:N13"/>
    <mergeCell ref="C13:G13"/>
    <mergeCell ref="B6:G8"/>
    <mergeCell ref="I6:N8"/>
    <mergeCell ref="P6:U8"/>
    <mergeCell ref="C10:G10"/>
    <mergeCell ref="J10:N10"/>
    <mergeCell ref="Q10:U10"/>
    <mergeCell ref="B2:U2"/>
    <mergeCell ref="B3:U3"/>
    <mergeCell ref="B5:G5"/>
    <mergeCell ref="I5:N5"/>
    <mergeCell ref="P5:U5"/>
  </mergeCells>
  <conditionalFormatting sqref="C13 J13 Q13">
    <cfRule type="beginsWith" dxfId="8" priority="1" operator="beginsWith" text="Sehr Hoch">
      <formula>LEFT(C13,LEN("Sehr Hoch"))="Sehr Hoch"</formula>
    </cfRule>
    <cfRule type="beginsWith" dxfId="7" priority="2" operator="beginsWith" text="Hoch">
      <formula>LEFT(C13,LEN("Hoch"))="Hoch"</formula>
    </cfRule>
    <cfRule type="containsText" dxfId="6" priority="3" operator="containsText" text="Normal">
      <formula>NOT(ISERROR(SEARCH("Normal",C13)))</formula>
    </cfRule>
  </conditionalFormatting>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7EC2FF7-3DDD-4010-A26E-82924485AB82}">
          <x14:formula1>
            <xm:f>Daten!$H$4:$H$6</xm:f>
          </x14:formula1>
          <xm:sqref>C10:G10 J10:N10 Q10:U10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F714A-A70E-4910-BCB5-1560D84FB341}">
  <dimension ref="B2:U13"/>
  <sheetViews>
    <sheetView showGridLines="0" topLeftCell="A7" zoomScaleNormal="100" workbookViewId="0">
      <selection activeCell="J10" sqref="J10:N10"/>
    </sheetView>
  </sheetViews>
  <sheetFormatPr baseColWidth="10" defaultRowHeight="15" x14ac:dyDescent="0.25"/>
  <cols>
    <col min="1" max="1" width="8" customWidth="1"/>
    <col min="7" max="7" width="24.42578125" customWidth="1"/>
    <col min="14" max="14" width="17.7109375" customWidth="1"/>
    <col min="21" max="21" width="19.7109375" customWidth="1"/>
  </cols>
  <sheetData>
    <row r="2" spans="2:21" x14ac:dyDescent="0.25">
      <c r="B2" s="33" t="s">
        <v>21</v>
      </c>
      <c r="C2" s="33"/>
      <c r="D2" s="33"/>
      <c r="E2" s="33"/>
      <c r="F2" s="33"/>
      <c r="G2" s="33"/>
      <c r="H2" s="33"/>
      <c r="I2" s="33"/>
      <c r="J2" s="33"/>
      <c r="K2" s="33"/>
      <c r="L2" s="33"/>
      <c r="M2" s="33"/>
      <c r="N2" s="33"/>
      <c r="O2" s="33"/>
      <c r="P2" s="33"/>
      <c r="Q2" s="33"/>
      <c r="R2" s="33"/>
      <c r="S2" s="33"/>
      <c r="T2" s="33"/>
      <c r="U2" s="33"/>
    </row>
    <row r="3" spans="2:21" ht="243" customHeight="1" x14ac:dyDescent="0.25">
      <c r="B3" s="34" t="s">
        <v>22</v>
      </c>
      <c r="C3" s="34"/>
      <c r="D3" s="34"/>
      <c r="E3" s="34"/>
      <c r="F3" s="34"/>
      <c r="G3" s="34"/>
      <c r="H3" s="34"/>
      <c r="I3" s="34"/>
      <c r="J3" s="34"/>
      <c r="K3" s="34"/>
      <c r="L3" s="34"/>
      <c r="M3" s="34"/>
      <c r="N3" s="34"/>
      <c r="O3" s="34"/>
      <c r="P3" s="34"/>
      <c r="Q3" s="34"/>
      <c r="R3" s="34"/>
      <c r="S3" s="34"/>
      <c r="T3" s="34"/>
      <c r="U3" s="34"/>
    </row>
    <row r="5" spans="2:21" x14ac:dyDescent="0.25">
      <c r="B5" s="35" t="s">
        <v>1</v>
      </c>
      <c r="C5" s="35"/>
      <c r="D5" s="35"/>
      <c r="E5" s="35"/>
      <c r="F5" s="35"/>
      <c r="G5" s="35"/>
      <c r="I5" s="35" t="s">
        <v>2</v>
      </c>
      <c r="J5" s="35"/>
      <c r="K5" s="35"/>
      <c r="L5" s="35"/>
      <c r="M5" s="35"/>
      <c r="N5" s="35"/>
      <c r="P5" s="35" t="s">
        <v>3</v>
      </c>
      <c r="Q5" s="35"/>
      <c r="R5" s="35"/>
      <c r="S5" s="35"/>
      <c r="T5" s="35"/>
      <c r="U5" s="35"/>
    </row>
    <row r="6" spans="2:21" ht="15" customHeight="1" x14ac:dyDescent="0.25">
      <c r="B6" s="34" t="s">
        <v>23</v>
      </c>
      <c r="C6" s="34"/>
      <c r="D6" s="34"/>
      <c r="E6" s="34"/>
      <c r="F6" s="34"/>
      <c r="G6" s="34"/>
      <c r="I6" s="34" t="s">
        <v>24</v>
      </c>
      <c r="J6" s="36"/>
      <c r="K6" s="36"/>
      <c r="L6" s="36"/>
      <c r="M6" s="36"/>
      <c r="N6" s="36"/>
      <c r="P6" s="34" t="s">
        <v>25</v>
      </c>
      <c r="Q6" s="36"/>
      <c r="R6" s="36"/>
      <c r="S6" s="36"/>
      <c r="T6" s="36"/>
      <c r="U6" s="36"/>
    </row>
    <row r="7" spans="2:21" ht="27" customHeight="1" x14ac:dyDescent="0.25">
      <c r="B7" s="34"/>
      <c r="C7" s="34"/>
      <c r="D7" s="34"/>
      <c r="E7" s="34"/>
      <c r="F7" s="34"/>
      <c r="G7" s="34"/>
      <c r="I7" s="36"/>
      <c r="J7" s="36"/>
      <c r="K7" s="36"/>
      <c r="L7" s="36"/>
      <c r="M7" s="36"/>
      <c r="N7" s="36"/>
      <c r="P7" s="36"/>
      <c r="Q7" s="36"/>
      <c r="R7" s="36"/>
      <c r="S7" s="36"/>
      <c r="T7" s="36"/>
      <c r="U7" s="36"/>
    </row>
    <row r="8" spans="2:21" ht="106.5" customHeight="1" x14ac:dyDescent="0.25">
      <c r="B8" s="34"/>
      <c r="C8" s="34"/>
      <c r="D8" s="34"/>
      <c r="E8" s="34"/>
      <c r="F8" s="34"/>
      <c r="G8" s="34"/>
      <c r="I8" s="36"/>
      <c r="J8" s="36"/>
      <c r="K8" s="36"/>
      <c r="L8" s="36"/>
      <c r="M8" s="36"/>
      <c r="N8" s="36"/>
      <c r="P8" s="36"/>
      <c r="Q8" s="36"/>
      <c r="R8" s="36"/>
      <c r="S8" s="36"/>
      <c r="T8" s="36"/>
      <c r="U8" s="36"/>
    </row>
    <row r="10" spans="2:21" ht="36" customHeight="1" x14ac:dyDescent="0.25">
      <c r="B10" s="2" t="s">
        <v>32</v>
      </c>
      <c r="C10" s="30" t="s">
        <v>57</v>
      </c>
      <c r="D10" s="31"/>
      <c r="E10" s="31"/>
      <c r="F10" s="31"/>
      <c r="G10" s="32"/>
      <c r="I10" s="2" t="s">
        <v>32</v>
      </c>
      <c r="J10" s="30" t="s">
        <v>57</v>
      </c>
      <c r="K10" s="31"/>
      <c r="L10" s="31"/>
      <c r="M10" s="31"/>
      <c r="N10" s="32"/>
      <c r="P10" s="2" t="s">
        <v>32</v>
      </c>
      <c r="Q10" s="30" t="s">
        <v>55</v>
      </c>
      <c r="R10" s="31"/>
      <c r="S10" s="31"/>
      <c r="T10" s="31"/>
      <c r="U10" s="32"/>
    </row>
    <row r="11" spans="2:21" ht="65.25" customHeight="1" x14ac:dyDescent="0.25">
      <c r="B11" s="4" t="s">
        <v>38</v>
      </c>
      <c r="C11" s="38"/>
      <c r="D11" s="39"/>
      <c r="E11" s="39"/>
      <c r="F11" s="39"/>
      <c r="G11" s="40"/>
      <c r="I11" s="4" t="s">
        <v>38</v>
      </c>
      <c r="J11" s="38"/>
      <c r="K11" s="39"/>
      <c r="L11" s="39"/>
      <c r="M11" s="39"/>
      <c r="N11" s="40"/>
      <c r="P11" s="4" t="s">
        <v>38</v>
      </c>
      <c r="Q11" s="38"/>
      <c r="R11" s="39"/>
      <c r="S11" s="39"/>
      <c r="T11" s="39"/>
      <c r="U11" s="40"/>
    </row>
    <row r="13" spans="2:21" x14ac:dyDescent="0.25">
      <c r="B13" s="2" t="s">
        <v>33</v>
      </c>
      <c r="C13" s="37" t="str">
        <f>IF(LEFT(C10,1)="1","Normal",IF(LEFT(C10,1)="2","Hoch",IF(LEFT(C10,1)="3","Sehr Hoch","-")))</f>
        <v>Sehr Hoch</v>
      </c>
      <c r="D13" s="37"/>
      <c r="E13" s="37"/>
      <c r="F13" s="37"/>
      <c r="G13" s="37"/>
      <c r="I13" s="2" t="s">
        <v>33</v>
      </c>
      <c r="J13" s="37" t="str">
        <f>IF(LEFT(J10,1)="1","Normal",IF(LEFT(J10,1)="2","Hoch",IF(LEFT(J10,1)="3","Sehr Hoch","-")))</f>
        <v>Sehr Hoch</v>
      </c>
      <c r="K13" s="37"/>
      <c r="L13" s="37"/>
      <c r="M13" s="37"/>
      <c r="N13" s="37"/>
      <c r="P13" s="2" t="s">
        <v>33</v>
      </c>
      <c r="Q13" s="37" t="str">
        <f>IF(LEFT(Q10,1)="1","Normal",IF(LEFT(Q10,1)="2","Hoch",IF(LEFT(Q10,1)="3","Sehr Hoch","-")))</f>
        <v>Normal</v>
      </c>
      <c r="R13" s="37"/>
      <c r="S13" s="37"/>
      <c r="T13" s="37"/>
      <c r="U13" s="37"/>
    </row>
  </sheetData>
  <mergeCells count="17">
    <mergeCell ref="C11:G11"/>
    <mergeCell ref="J11:N11"/>
    <mergeCell ref="Q11:U11"/>
    <mergeCell ref="Q13:U13"/>
    <mergeCell ref="J13:N13"/>
    <mergeCell ref="C13:G13"/>
    <mergeCell ref="B6:G8"/>
    <mergeCell ref="I6:N8"/>
    <mergeCell ref="P6:U8"/>
    <mergeCell ref="C10:G10"/>
    <mergeCell ref="J10:N10"/>
    <mergeCell ref="Q10:U10"/>
    <mergeCell ref="B2:U2"/>
    <mergeCell ref="B3:U3"/>
    <mergeCell ref="B5:G5"/>
    <mergeCell ref="I5:N5"/>
    <mergeCell ref="P5:U5"/>
  </mergeCells>
  <conditionalFormatting sqref="C13 J13 Q13">
    <cfRule type="beginsWith" dxfId="5" priority="1" operator="beginsWith" text="Sehr Hoch">
      <formula>LEFT(C13,LEN("Sehr Hoch"))="Sehr Hoch"</formula>
    </cfRule>
    <cfRule type="beginsWith" dxfId="4" priority="2" operator="beginsWith" text="Hoch">
      <formula>LEFT(C13,LEN("Hoch"))="Hoch"</formula>
    </cfRule>
    <cfRule type="containsText" dxfId="3" priority="3" operator="containsText" text="Normal">
      <formula>NOT(ISERROR(SEARCH("Normal",C13)))</formula>
    </cfRule>
  </conditionalFormatting>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CCF263F-336D-4346-AAED-AD67B20E820B}">
          <x14:formula1>
            <xm:f>Daten!$J$4:$J$6</xm:f>
          </x14:formula1>
          <xm:sqref>C10:G10 J10:N10 Q10:U10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5B700-95D9-4E01-8051-5273C694A7AE}">
  <dimension ref="B2:U13"/>
  <sheetViews>
    <sheetView showGridLines="0" zoomScale="110" zoomScaleNormal="110" workbookViewId="0">
      <selection activeCell="Q10" sqref="Q10:U10"/>
    </sheetView>
  </sheetViews>
  <sheetFormatPr baseColWidth="10" defaultRowHeight="15" x14ac:dyDescent="0.25"/>
  <cols>
    <col min="1" max="1" width="8" customWidth="1"/>
  </cols>
  <sheetData>
    <row r="2" spans="2:21" x14ac:dyDescent="0.25">
      <c r="B2" s="33" t="s">
        <v>26</v>
      </c>
      <c r="C2" s="33"/>
      <c r="D2" s="33"/>
      <c r="E2" s="33"/>
      <c r="F2" s="33"/>
      <c r="G2" s="33"/>
      <c r="H2" s="33"/>
      <c r="I2" s="33"/>
      <c r="J2" s="33"/>
      <c r="K2" s="33"/>
      <c r="L2" s="33"/>
      <c r="M2" s="33"/>
      <c r="N2" s="33"/>
      <c r="O2" s="33"/>
      <c r="P2" s="33"/>
      <c r="Q2" s="33"/>
      <c r="R2" s="33"/>
      <c r="S2" s="33"/>
      <c r="T2" s="33"/>
      <c r="U2" s="33"/>
    </row>
    <row r="3" spans="2:21" ht="153" customHeight="1" x14ac:dyDescent="0.25">
      <c r="B3" s="34" t="s">
        <v>27</v>
      </c>
      <c r="C3" s="34"/>
      <c r="D3" s="34"/>
      <c r="E3" s="34"/>
      <c r="F3" s="34"/>
      <c r="G3" s="34"/>
      <c r="H3" s="34"/>
      <c r="I3" s="34"/>
      <c r="J3" s="34"/>
      <c r="K3" s="34"/>
      <c r="L3" s="34"/>
      <c r="M3" s="34"/>
      <c r="N3" s="34"/>
      <c r="O3" s="34"/>
      <c r="P3" s="34"/>
      <c r="Q3" s="34"/>
      <c r="R3" s="34"/>
      <c r="S3" s="34"/>
      <c r="T3" s="34"/>
      <c r="U3" s="34"/>
    </row>
    <row r="5" spans="2:21" x14ac:dyDescent="0.25">
      <c r="B5" s="35" t="s">
        <v>1</v>
      </c>
      <c r="C5" s="35"/>
      <c r="D5" s="35"/>
      <c r="E5" s="35"/>
      <c r="F5" s="35"/>
      <c r="G5" s="35"/>
      <c r="I5" s="35" t="s">
        <v>2</v>
      </c>
      <c r="J5" s="35"/>
      <c r="K5" s="35"/>
      <c r="L5" s="35"/>
      <c r="M5" s="35"/>
      <c r="N5" s="35"/>
      <c r="P5" s="35" t="s">
        <v>3</v>
      </c>
      <c r="Q5" s="35"/>
      <c r="R5" s="35"/>
      <c r="S5" s="35"/>
      <c r="T5" s="35"/>
      <c r="U5" s="35"/>
    </row>
    <row r="6" spans="2:21" ht="15" customHeight="1" x14ac:dyDescent="0.25">
      <c r="B6" s="34" t="s">
        <v>28</v>
      </c>
      <c r="C6" s="34"/>
      <c r="D6" s="34"/>
      <c r="E6" s="34"/>
      <c r="F6" s="34"/>
      <c r="G6" s="34"/>
      <c r="I6" s="34" t="s">
        <v>29</v>
      </c>
      <c r="J6" s="36"/>
      <c r="K6" s="36"/>
      <c r="L6" s="36"/>
      <c r="M6" s="36"/>
      <c r="N6" s="36"/>
      <c r="P6" s="34" t="s">
        <v>30</v>
      </c>
      <c r="Q6" s="36"/>
      <c r="R6" s="36"/>
      <c r="S6" s="36"/>
      <c r="T6" s="36"/>
      <c r="U6" s="36"/>
    </row>
    <row r="7" spans="2:21" ht="27" customHeight="1" x14ac:dyDescent="0.25">
      <c r="B7" s="34"/>
      <c r="C7" s="34"/>
      <c r="D7" s="34"/>
      <c r="E7" s="34"/>
      <c r="F7" s="34"/>
      <c r="G7" s="34"/>
      <c r="I7" s="36"/>
      <c r="J7" s="36"/>
      <c r="K7" s="36"/>
      <c r="L7" s="36"/>
      <c r="M7" s="36"/>
      <c r="N7" s="36"/>
      <c r="P7" s="36"/>
      <c r="Q7" s="36"/>
      <c r="R7" s="36"/>
      <c r="S7" s="36"/>
      <c r="T7" s="36"/>
      <c r="U7" s="36"/>
    </row>
    <row r="8" spans="2:21" ht="111.75" customHeight="1" x14ac:dyDescent="0.25">
      <c r="B8" s="34"/>
      <c r="C8" s="34"/>
      <c r="D8" s="34"/>
      <c r="E8" s="34"/>
      <c r="F8" s="34"/>
      <c r="G8" s="34"/>
      <c r="I8" s="36"/>
      <c r="J8" s="36"/>
      <c r="K8" s="36"/>
      <c r="L8" s="36"/>
      <c r="M8" s="36"/>
      <c r="N8" s="36"/>
      <c r="P8" s="36"/>
      <c r="Q8" s="36"/>
      <c r="R8" s="36"/>
      <c r="S8" s="36"/>
      <c r="T8" s="36"/>
      <c r="U8" s="36"/>
    </row>
    <row r="10" spans="2:21" ht="30.75" customHeight="1" x14ac:dyDescent="0.25">
      <c r="B10" s="2" t="s">
        <v>32</v>
      </c>
      <c r="C10" s="30" t="s">
        <v>65</v>
      </c>
      <c r="D10" s="31"/>
      <c r="E10" s="31"/>
      <c r="F10" s="31"/>
      <c r="G10" s="32"/>
      <c r="I10" s="2" t="s">
        <v>32</v>
      </c>
      <c r="J10" s="30" t="s">
        <v>65</v>
      </c>
      <c r="K10" s="31"/>
      <c r="L10" s="31"/>
      <c r="M10" s="31"/>
      <c r="N10" s="32"/>
      <c r="P10" s="2" t="s">
        <v>32</v>
      </c>
      <c r="Q10" s="30" t="s">
        <v>65</v>
      </c>
      <c r="R10" s="31"/>
      <c r="S10" s="31"/>
      <c r="T10" s="31"/>
      <c r="U10" s="32"/>
    </row>
    <row r="11" spans="2:21" ht="50.25" customHeight="1" x14ac:dyDescent="0.25">
      <c r="B11" s="4" t="s">
        <v>38</v>
      </c>
      <c r="C11" s="38"/>
      <c r="D11" s="39"/>
      <c r="E11" s="39"/>
      <c r="F11" s="39"/>
      <c r="G11" s="40"/>
      <c r="I11" s="4" t="s">
        <v>38</v>
      </c>
      <c r="J11" s="38"/>
      <c r="K11" s="39"/>
      <c r="L11" s="39"/>
      <c r="M11" s="39"/>
      <c r="N11" s="40"/>
      <c r="P11" s="4" t="s">
        <v>38</v>
      </c>
      <c r="Q11" s="38"/>
      <c r="R11" s="39"/>
      <c r="S11" s="39"/>
      <c r="T11" s="39"/>
      <c r="U11" s="40"/>
    </row>
    <row r="13" spans="2:21" x14ac:dyDescent="0.25">
      <c r="B13" s="2" t="s">
        <v>33</v>
      </c>
      <c r="C13" s="37" t="str">
        <f>IF(LEFT(C10,1)="1","Normal",IF(LEFT(C10,1)="2","Hoch",IF(LEFT(C10,1)="3","Sehr Hoch","-")))</f>
        <v>Normal</v>
      </c>
      <c r="D13" s="37"/>
      <c r="E13" s="37"/>
      <c r="F13" s="37"/>
      <c r="G13" s="37"/>
      <c r="I13" s="2" t="s">
        <v>33</v>
      </c>
      <c r="J13" s="37" t="str">
        <f>IF(LEFT(J10,1)="1","Normal",IF(LEFT(J10,1)="2","Hoch",IF(LEFT(J10,1)="3","Sehr Hoch","-")))</f>
        <v>Normal</v>
      </c>
      <c r="K13" s="37"/>
      <c r="L13" s="37"/>
      <c r="M13" s="37"/>
      <c r="N13" s="37"/>
      <c r="P13" s="2" t="s">
        <v>33</v>
      </c>
      <c r="Q13" s="37" t="str">
        <f>IF(LEFT(Q10,1)="1","Normal",IF(LEFT(Q10,1)="2","Hoch",IF(LEFT(Q10,1)="3","Sehr Hoch","-")))</f>
        <v>Normal</v>
      </c>
      <c r="R13" s="37"/>
      <c r="S13" s="37"/>
      <c r="T13" s="37"/>
      <c r="U13" s="37"/>
    </row>
  </sheetData>
  <mergeCells count="17">
    <mergeCell ref="C11:G11"/>
    <mergeCell ref="J11:N11"/>
    <mergeCell ref="Q11:U11"/>
    <mergeCell ref="Q13:U13"/>
    <mergeCell ref="J13:N13"/>
    <mergeCell ref="C13:G13"/>
    <mergeCell ref="B6:G8"/>
    <mergeCell ref="I6:N8"/>
    <mergeCell ref="P6:U8"/>
    <mergeCell ref="C10:G10"/>
    <mergeCell ref="J10:N10"/>
    <mergeCell ref="Q10:U10"/>
    <mergeCell ref="B2:U2"/>
    <mergeCell ref="B3:U3"/>
    <mergeCell ref="B5:G5"/>
    <mergeCell ref="I5:N5"/>
    <mergeCell ref="P5:U5"/>
  </mergeCells>
  <conditionalFormatting sqref="C13 J13 Q13">
    <cfRule type="beginsWith" dxfId="2" priority="1" operator="beginsWith" text="Sehr Hoch">
      <formula>LEFT(C13,LEN("Sehr Hoch"))="Sehr Hoch"</formula>
    </cfRule>
    <cfRule type="beginsWith" dxfId="1" priority="2" operator="beginsWith" text="Hoch">
      <formula>LEFT(C13,LEN("Hoch"))="Hoch"</formula>
    </cfRule>
    <cfRule type="containsText" dxfId="0" priority="3" operator="containsText" text="Normal">
      <formula>NOT(ISERROR(SEARCH("Normal",C13)))</formula>
    </cfRule>
  </conditionalFormatting>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E831CB5-FFF1-4DCB-95EE-D08D3527E021}">
          <x14:formula1>
            <xm:f>Daten!$L$4:$L$6</xm:f>
          </x14:formula1>
          <xm:sqref>C10:G10 J10:N10 Q10:U10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52525-E8D5-46EE-B62E-F7D3DE570CF2}">
  <dimension ref="B2:L22"/>
  <sheetViews>
    <sheetView workbookViewId="0">
      <selection activeCell="H5" sqref="H5"/>
    </sheetView>
  </sheetViews>
  <sheetFormatPr baseColWidth="10" defaultRowHeight="15" x14ac:dyDescent="0.25"/>
  <cols>
    <col min="1" max="1" width="4.7109375" customWidth="1"/>
    <col min="2" max="2" width="29" bestFit="1" customWidth="1"/>
    <col min="3" max="3" width="6.7109375" customWidth="1"/>
    <col min="4" max="4" width="47.7109375" customWidth="1"/>
    <col min="5" max="5" width="7.42578125" customWidth="1"/>
    <col min="6" max="6" width="26.5703125" customWidth="1"/>
    <col min="7" max="7" width="7.28515625" customWidth="1"/>
    <col min="8" max="8" width="19.7109375" customWidth="1"/>
    <col min="9" max="9" width="6.42578125" customWidth="1"/>
    <col min="10" max="10" width="18.5703125" customWidth="1"/>
    <col min="11" max="11" width="7.7109375" customWidth="1"/>
    <col min="12" max="12" width="18.28515625" customWidth="1"/>
  </cols>
  <sheetData>
    <row r="2" spans="2:12" ht="45" x14ac:dyDescent="0.25">
      <c r="B2" t="s">
        <v>31</v>
      </c>
      <c r="D2" s="1" t="s">
        <v>6</v>
      </c>
      <c r="F2" s="1" t="s">
        <v>11</v>
      </c>
      <c r="H2" s="1" t="s">
        <v>20</v>
      </c>
      <c r="J2" s="1" t="s">
        <v>21</v>
      </c>
      <c r="L2" s="1" t="s">
        <v>26</v>
      </c>
    </row>
    <row r="3" spans="2:12" x14ac:dyDescent="0.25">
      <c r="D3" s="1"/>
      <c r="F3" s="1"/>
      <c r="H3" s="1"/>
      <c r="J3" s="1"/>
      <c r="L3" s="1"/>
    </row>
    <row r="4" spans="2:12" ht="120" x14ac:dyDescent="0.25">
      <c r="B4" s="1" t="s">
        <v>43</v>
      </c>
      <c r="D4" s="1" t="s">
        <v>46</v>
      </c>
      <c r="F4" s="1" t="s">
        <v>49</v>
      </c>
      <c r="H4" s="1" t="s">
        <v>52</v>
      </c>
      <c r="J4" s="1" t="s">
        <v>55</v>
      </c>
      <c r="L4" s="1" t="s">
        <v>65</v>
      </c>
    </row>
    <row r="5" spans="2:12" ht="105" x14ac:dyDescent="0.25">
      <c r="B5" s="1" t="s">
        <v>44</v>
      </c>
      <c r="D5" s="1" t="s">
        <v>47</v>
      </c>
      <c r="F5" s="1" t="s">
        <v>50</v>
      </c>
      <c r="H5" s="1" t="s">
        <v>53</v>
      </c>
      <c r="J5" s="1" t="s">
        <v>56</v>
      </c>
      <c r="L5" s="1" t="s">
        <v>66</v>
      </c>
    </row>
    <row r="6" spans="2:12" ht="105" x14ac:dyDescent="0.25">
      <c r="B6" s="1" t="s">
        <v>45</v>
      </c>
      <c r="D6" s="1" t="s">
        <v>48</v>
      </c>
      <c r="F6" s="1" t="s">
        <v>51</v>
      </c>
      <c r="H6" s="1" t="s">
        <v>54</v>
      </c>
      <c r="J6" s="1" t="s">
        <v>57</v>
      </c>
      <c r="L6" s="1" t="s">
        <v>67</v>
      </c>
    </row>
    <row r="12" spans="2:12" x14ac:dyDescent="0.25">
      <c r="D12" s="3" t="s">
        <v>34</v>
      </c>
      <c r="E12" s="3" t="s">
        <v>35</v>
      </c>
      <c r="F12" s="3" t="s">
        <v>36</v>
      </c>
    </row>
    <row r="13" spans="2:12" x14ac:dyDescent="0.25">
      <c r="D13" s="3">
        <f>IF(Ergebnis!D14="Sehr Hoch",3,IF(Ergebnis!D14="Hoch",2,1))</f>
        <v>1</v>
      </c>
      <c r="E13" s="3">
        <f>IF(Ergebnis!E14="Sehr Hoch",3,IF(Ergebnis!E14="Hoch",2,1))</f>
        <v>2</v>
      </c>
      <c r="F13" s="3">
        <f>IF(Ergebnis!F14="Sehr Hoch",3,IF(Ergebnis!F14="Hoch",2,1))</f>
        <v>3</v>
      </c>
    </row>
    <row r="14" spans="2:12" x14ac:dyDescent="0.25">
      <c r="D14" s="3">
        <f>IF(Ergebnis!D15="Sehr Hoch",3,IF(Ergebnis!D15="Hoch",2,1))</f>
        <v>1</v>
      </c>
      <c r="E14" s="3">
        <f>IF(Ergebnis!E15="Sehr Hoch",3,IF(Ergebnis!E15="Hoch",2,1))</f>
        <v>1</v>
      </c>
      <c r="F14" s="3">
        <f>IF(Ergebnis!F15="Sehr Hoch",3,IF(Ergebnis!F15="Hoch",2,1))</f>
        <v>1</v>
      </c>
    </row>
    <row r="15" spans="2:12" x14ac:dyDescent="0.25">
      <c r="D15" s="3">
        <f>IF(Ergebnis!D16="Sehr Hoch",3,IF(Ergebnis!D16="Hoch",2,1))</f>
        <v>3</v>
      </c>
      <c r="E15" s="3">
        <f>IF(Ergebnis!E16="Sehr Hoch",3,IF(Ergebnis!E16="Hoch",2,1))</f>
        <v>2</v>
      </c>
      <c r="F15" s="3">
        <f>IF(Ergebnis!F16="Sehr Hoch",3,IF(Ergebnis!F16="Hoch",2,1))</f>
        <v>1</v>
      </c>
    </row>
    <row r="16" spans="2:12" x14ac:dyDescent="0.25">
      <c r="D16" s="3">
        <f>IF(Ergebnis!D17="Sehr Hoch",3,IF(Ergebnis!D17="Hoch",2,1))</f>
        <v>3</v>
      </c>
      <c r="E16" s="3">
        <f>IF(Ergebnis!E17="Sehr Hoch",3,IF(Ergebnis!E17="Hoch",2,1))</f>
        <v>3</v>
      </c>
      <c r="F16" s="3">
        <f>IF(Ergebnis!F17="Sehr Hoch",3,IF(Ergebnis!F17="Hoch",2,1))</f>
        <v>1</v>
      </c>
    </row>
    <row r="17" spans="4:6" x14ac:dyDescent="0.25">
      <c r="D17" s="3">
        <f>IF(Ergebnis!D18="Sehr Hoch",3,IF(Ergebnis!D18="Hoch",2,1))</f>
        <v>3</v>
      </c>
      <c r="E17" s="3">
        <f>IF(Ergebnis!E18="Sehr Hoch",3,IF(Ergebnis!E18="Hoch",2,1))</f>
        <v>3</v>
      </c>
      <c r="F17" s="3">
        <f>IF(Ergebnis!F18="Sehr Hoch",3,IF(Ergebnis!F18="Hoch",2,1))</f>
        <v>1</v>
      </c>
    </row>
    <row r="18" spans="4:6" x14ac:dyDescent="0.25">
      <c r="D18" s="3">
        <f>IF(Ergebnis!D19="Sehr Hoch",3,IF(Ergebnis!D19="Hoch",2,1))</f>
        <v>1</v>
      </c>
      <c r="E18" s="3">
        <f>IF(Ergebnis!E19="Sehr Hoch",3,IF(Ergebnis!E19="Hoch",2,1))</f>
        <v>1</v>
      </c>
      <c r="F18" s="3">
        <f>IF(Ergebnis!F19="Sehr Hoch",3,IF(Ergebnis!F19="Hoch",2,1))</f>
        <v>1</v>
      </c>
    </row>
    <row r="20" spans="4:6" x14ac:dyDescent="0.25">
      <c r="D20" s="3">
        <f>MAX(D13:D18)</f>
        <v>3</v>
      </c>
      <c r="E20" s="3">
        <f>MAX(E13:E18)</f>
        <v>3</v>
      </c>
      <c r="F20" s="3">
        <f>MAX(F13:F18)</f>
        <v>3</v>
      </c>
    </row>
    <row r="22" spans="4:6" x14ac:dyDescent="0.25">
      <c r="D22" s="41">
        <f>MAX(D20:F20)</f>
        <v>3</v>
      </c>
      <c r="E22" s="41"/>
      <c r="F22" s="41"/>
    </row>
  </sheetData>
  <mergeCells count="1">
    <mergeCell ref="D22:F22"/>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vt:i4>
      </vt:variant>
    </vt:vector>
  </HeadingPairs>
  <TitlesOfParts>
    <vt:vector size="9" baseType="lpstr">
      <vt:lpstr>Ergebnis</vt:lpstr>
      <vt:lpstr>Schadensszenario 1</vt:lpstr>
      <vt:lpstr>Schadensszenario 2</vt:lpstr>
      <vt:lpstr>Schadensszenario 3</vt:lpstr>
      <vt:lpstr>Schadensszenario 4</vt:lpstr>
      <vt:lpstr>Schadensszenario 5</vt:lpstr>
      <vt:lpstr>Schadensszenario 6</vt:lpstr>
      <vt:lpstr>Daten</vt:lpstr>
      <vt:lpstr>Ergebnis!Druckbereich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Ulrich</dc:creator>
  <cp:lastModifiedBy>Jan Ulrich</cp:lastModifiedBy>
  <cp:lastPrinted>2021-02-28T06:11:53Z</cp:lastPrinted>
  <dcterms:created xsi:type="dcterms:W3CDTF">2021-02-27T14:43:21Z</dcterms:created>
  <dcterms:modified xsi:type="dcterms:W3CDTF">2021-02-28T07:38:18Z</dcterms:modified>
</cp:coreProperties>
</file>